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ltan\Documents\GitHub\Business-Maths-And-Statistics-using-excel\"/>
    </mc:Choice>
  </mc:AlternateContent>
  <xr:revisionPtr revIDLastSave="0" documentId="13_ncr:1_{13DAB1E3-B930-4945-872E-C6963279386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  <sheet name="Marvel Financial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  <c r="C5" i="6"/>
  <c r="C3" i="6"/>
  <c r="C4" i="6"/>
  <c r="C48" i="1"/>
  <c r="C49" i="1"/>
  <c r="C44" i="1"/>
  <c r="C47" i="1"/>
  <c r="C45" i="1"/>
  <c r="C46" i="1"/>
  <c r="C43" i="1"/>
  <c r="C42" i="1"/>
  <c r="J29" i="1" a="1"/>
  <c r="J29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K2" i="1" a="1"/>
  <c r="K2" i="1" s="1"/>
  <c r="J2" i="1" a="1"/>
  <c r="J2" i="1" s="1"/>
  <c r="I2" i="1" a="1"/>
  <c r="I2" i="1" s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Q15" i="1" l="1"/>
  <c r="M39" i="1"/>
  <c r="O39" i="1" s="1"/>
  <c r="M35" i="1"/>
  <c r="O35" i="1" s="1"/>
  <c r="M31" i="1"/>
  <c r="O31" i="1" s="1"/>
  <c r="M38" i="1"/>
  <c r="O38" i="1" s="1"/>
  <c r="M34" i="1"/>
  <c r="O34" i="1" s="1"/>
  <c r="M30" i="1"/>
  <c r="O30" i="1" s="1"/>
  <c r="M25" i="1"/>
  <c r="M21" i="1"/>
  <c r="L17" i="1"/>
  <c r="M13" i="1"/>
  <c r="M9" i="1"/>
  <c r="M5" i="1"/>
  <c r="M17" i="1"/>
  <c r="L13" i="1"/>
  <c r="L37" i="1"/>
  <c r="L33" i="1"/>
  <c r="M28" i="1"/>
  <c r="M24" i="1"/>
  <c r="M20" i="1"/>
  <c r="M16" i="1"/>
  <c r="M12" i="1"/>
  <c r="M8" i="1"/>
  <c r="M4" i="1"/>
  <c r="M29" i="1"/>
  <c r="M40" i="1"/>
  <c r="M36" i="1"/>
  <c r="M32" i="1"/>
  <c r="M37" i="1"/>
  <c r="L2" i="1"/>
  <c r="N2" i="1" s="1"/>
  <c r="L27" i="1"/>
  <c r="L23" i="1"/>
  <c r="L19" i="1"/>
  <c r="L15" i="1"/>
  <c r="L11" i="1"/>
  <c r="L7" i="1"/>
  <c r="L3" i="1"/>
  <c r="M33" i="1"/>
  <c r="L26" i="1"/>
  <c r="N26" i="1" s="1"/>
  <c r="L22" i="1"/>
  <c r="N22" i="1" s="1"/>
  <c r="L18" i="1"/>
  <c r="N18" i="1" s="1"/>
  <c r="L14" i="1"/>
  <c r="N14" i="1" s="1"/>
  <c r="L10" i="1"/>
  <c r="N10" i="1" s="1"/>
  <c r="L6" i="1"/>
  <c r="N6" i="1" s="1"/>
  <c r="M27" i="1"/>
  <c r="O27" i="1" s="1"/>
  <c r="M23" i="1"/>
  <c r="O23" i="1" s="1"/>
  <c r="M19" i="1"/>
  <c r="O19" i="1" s="1"/>
  <c r="M15" i="1"/>
  <c r="O15" i="1" s="1"/>
  <c r="M11" i="1"/>
  <c r="O11" i="1" s="1"/>
  <c r="M7" i="1"/>
  <c r="O7" i="1" s="1"/>
  <c r="M3" i="1"/>
  <c r="O3" i="1" s="1"/>
  <c r="L25" i="1"/>
  <c r="L21" i="1"/>
  <c r="L9" i="1"/>
  <c r="L5" i="1"/>
  <c r="M26" i="1"/>
  <c r="O26" i="1" s="1"/>
  <c r="M22" i="1"/>
  <c r="O22" i="1" s="1"/>
  <c r="M18" i="1"/>
  <c r="O18" i="1" s="1"/>
  <c r="M14" i="1"/>
  <c r="O14" i="1" s="1"/>
  <c r="M10" i="1"/>
  <c r="O10" i="1" s="1"/>
  <c r="M6" i="1"/>
  <c r="O6" i="1" s="1"/>
  <c r="M2" i="1"/>
  <c r="O2" i="1" s="1"/>
  <c r="L36" i="1"/>
  <c r="L39" i="1"/>
  <c r="L31" i="1"/>
  <c r="L38" i="1"/>
  <c r="N38" i="1" s="1"/>
  <c r="L34" i="1"/>
  <c r="N34" i="1" s="1"/>
  <c r="L30" i="1"/>
  <c r="N30" i="1" s="1"/>
  <c r="L40" i="1"/>
  <c r="L32" i="1"/>
  <c r="L35" i="1"/>
  <c r="L28" i="1"/>
  <c r="L24" i="1"/>
  <c r="L20" i="1"/>
  <c r="L16" i="1"/>
  <c r="L12" i="1"/>
  <c r="L8" i="1"/>
  <c r="L4" i="1"/>
  <c r="L29" i="1"/>
  <c r="Q35" i="1" l="1"/>
  <c r="Q19" i="1"/>
  <c r="Q39" i="1"/>
  <c r="Q3" i="1"/>
  <c r="Q23" i="1"/>
  <c r="Q7" i="1"/>
  <c r="Q31" i="1"/>
  <c r="O37" i="1"/>
  <c r="Q37" i="1"/>
  <c r="O29" i="1"/>
  <c r="Q29" i="1"/>
  <c r="O16" i="1"/>
  <c r="O43" i="1" s="1"/>
  <c r="Q16" i="1"/>
  <c r="O5" i="1"/>
  <c r="Q5" i="1"/>
  <c r="O21" i="1"/>
  <c r="Q21" i="1"/>
  <c r="Q6" i="1"/>
  <c r="Q22" i="1"/>
  <c r="Q38" i="1"/>
  <c r="O32" i="1"/>
  <c r="Q32" i="1"/>
  <c r="O4" i="1"/>
  <c r="Q4" i="1"/>
  <c r="O20" i="1"/>
  <c r="Q20" i="1"/>
  <c r="O9" i="1"/>
  <c r="Q9" i="1"/>
  <c r="O25" i="1"/>
  <c r="Q25" i="1"/>
  <c r="Q10" i="1"/>
  <c r="Q26" i="1"/>
  <c r="O36" i="1"/>
  <c r="Q36" i="1"/>
  <c r="O8" i="1"/>
  <c r="Q8" i="1"/>
  <c r="O24" i="1"/>
  <c r="Q24" i="1"/>
  <c r="O13" i="1"/>
  <c r="Q13" i="1"/>
  <c r="Q14" i="1"/>
  <c r="Q30" i="1"/>
  <c r="O33" i="1"/>
  <c r="Q33" i="1"/>
  <c r="O40" i="1"/>
  <c r="Q40" i="1"/>
  <c r="O12" i="1"/>
  <c r="Q12" i="1"/>
  <c r="O28" i="1"/>
  <c r="Q28" i="1"/>
  <c r="O17" i="1"/>
  <c r="Q17" i="1"/>
  <c r="Q18" i="1"/>
  <c r="Q34" i="1"/>
  <c r="Q11" i="1"/>
  <c r="Q27" i="1"/>
  <c r="Q2" i="1"/>
  <c r="O45" i="1" s="1"/>
  <c r="P14" i="1"/>
  <c r="P18" i="1"/>
  <c r="P30" i="1"/>
  <c r="N16" i="1"/>
  <c r="P16" i="1"/>
  <c r="N35" i="1"/>
  <c r="P35" i="1"/>
  <c r="N27" i="1"/>
  <c r="P27" i="1"/>
  <c r="N20" i="1"/>
  <c r="P20" i="1"/>
  <c r="N9" i="1"/>
  <c r="P9" i="1"/>
  <c r="P34" i="1"/>
  <c r="N8" i="1"/>
  <c r="P8" i="1"/>
  <c r="N24" i="1"/>
  <c r="P24" i="1"/>
  <c r="N40" i="1"/>
  <c r="P40" i="1"/>
  <c r="N31" i="1"/>
  <c r="P31" i="1"/>
  <c r="N21" i="1"/>
  <c r="P21" i="1"/>
  <c r="N3" i="1"/>
  <c r="P3" i="1"/>
  <c r="N19" i="1"/>
  <c r="P19" i="1"/>
  <c r="N33" i="1"/>
  <c r="P33" i="1"/>
  <c r="P6" i="1"/>
  <c r="P22" i="1"/>
  <c r="P38" i="1"/>
  <c r="N29" i="1"/>
  <c r="P29" i="1"/>
  <c r="N36" i="1"/>
  <c r="P36" i="1"/>
  <c r="N5" i="1"/>
  <c r="P5" i="1"/>
  <c r="N11" i="1"/>
  <c r="P11" i="1"/>
  <c r="N13" i="1"/>
  <c r="P13" i="1"/>
  <c r="N4" i="1"/>
  <c r="N43" i="1" s="1"/>
  <c r="P4" i="1"/>
  <c r="N32" i="1"/>
  <c r="P32" i="1"/>
  <c r="N15" i="1"/>
  <c r="P15" i="1"/>
  <c r="N17" i="1"/>
  <c r="P17" i="1"/>
  <c r="N12" i="1"/>
  <c r="P12" i="1"/>
  <c r="N28" i="1"/>
  <c r="P28" i="1"/>
  <c r="N39" i="1"/>
  <c r="P39" i="1"/>
  <c r="N25" i="1"/>
  <c r="P25" i="1"/>
  <c r="N7" i="1"/>
  <c r="P7" i="1"/>
  <c r="N23" i="1"/>
  <c r="P23" i="1"/>
  <c r="N37" i="1"/>
  <c r="P37" i="1"/>
  <c r="P10" i="1"/>
  <c r="P26" i="1"/>
  <c r="P2" i="1"/>
  <c r="N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<sst xmlns="http://schemas.openxmlformats.org/spreadsheetml/2006/main" count="320" uniqueCount="180">
  <si>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</si>
  <si>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</si>
  <si>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</si>
  <si>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</si>
  <si>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</si>
  <si>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</si>
  <si>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</si>
  <si>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</si>
  <si>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</si>
  <si>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</si>
  <si>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</si>
  <si>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</si>
  <si>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</si>
  <si>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</si>
  <si>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</si>
  <si>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</si>
  <si>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</si>
  <si>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</si>
  <si>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</si>
  <si>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</si>
  <si>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</si>
  <si>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</si>
  <si>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</si>
  <si>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</si>
  <si>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</si>
  <si>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</si>
  <si>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</si>
  <si>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</si>
  <si>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</si>
  <si>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</si>
  <si>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</si>
  <si>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</si>
  <si>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</si>
  <si>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</si>
  <si>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</si>
  <si>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</si>
  <si>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</si>
  <si>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</si>
  <si>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</si>
  <si>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</si>
  <si>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</si>
  <si>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</si>
  <si>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</si>
  <si>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</si>
  <si>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</si>
  <si>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</si>
  <si>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</si>
  <si>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</si>
  <si>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</si>
  <si>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</si>
  <si>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</si>
  <si>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</si>
  <si>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</si>
  <si>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</si>
  <si>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</si>
  <si>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</si>
  <si>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</si>
  <si>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</si>
  <si>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</si>
  <si>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</si>
  <si>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</si>
  <si>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</si>
  <si>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</si>
  <si>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</si>
  <si>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</si>
  <si>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</si>
  <si>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</si>
  <si>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</si>
  <si>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</si>
  <si>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</si>
  <si>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</si>
  <si>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</si>
  <si>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</si>
  <si>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</si>
  <si>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</si>
  <si>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</si>
  <si>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</si>
  <si>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</si>
  <si>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</si>
  <si>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</si>
  <si>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</si>
  <si>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</si>
  <si>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</si>
  <si>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</si>
  <si>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</si>
  <si>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</si>
  <si>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</si>
  <si>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</si>
  <si>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</si>
  <si>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</si>
  <si>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</si>
  <si>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</si>
  <si>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</si>
  <si>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</si>
  <si>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</si>
  <si>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</si>
  <si>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</si>
  <si>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</si>
  <si>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</si>
  <si>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</si>
  <si>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</si>
  <si>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</si>
  <si>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</si>
  <si>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</si>
  <si>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</si>
  <si>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</si>
  <si>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</si>
  <si>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</si>
  <si>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</si>
  <si>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</si>
  <si>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</si>
  <si>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</si>
  <si>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</si>
  <si>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</si>
  <si>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</si>
  <si>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</si>
  <si>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</si>
  <si>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</si>
  <si>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</si>
  <si>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</si>
  <si>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</si>
  <si>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</si>
  <si>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</si>
  <si>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</si>
  <si>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</si>
  <si>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</si>
  <si>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</si>
  <si>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</si>
  <si>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</si>
  <si>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</si>
  <si>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</si>
  <si>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</si>
  <si>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</si>
  <si>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</si>
  <si>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</si>
  <si>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</si>
  <si>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</si>
  <si>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</si>
  <si>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</si>
  <si>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</si>
  <si>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</si>
  <si>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</si>
  <si>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</si>
  <si>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</si>
  <si>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</si>
  <si>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</si>
  <si>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</si>
  <si>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</si>
  <si>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</si>
  <si>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</si>
  <si>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</si>
  <si>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</si>
  <si>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</si>
  <si>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</si>
  <si>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</si>
  <si>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</si>
  <si>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</si>
  <si>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budget mln</t>
  </si>
  <si>
    <t>revenue(mln)</t>
  </si>
  <si>
    <t>Budget INR</t>
  </si>
  <si>
    <t>revenue INR</t>
  </si>
  <si>
    <t>budget USD</t>
  </si>
  <si>
    <t>revenue USD</t>
  </si>
  <si>
    <t>TOTAL INR(mln)</t>
  </si>
  <si>
    <t>TOTAL USD(mln)</t>
  </si>
  <si>
    <t>BUDGET</t>
  </si>
  <si>
    <t>REVENUE</t>
  </si>
  <si>
    <t>Total Movies</t>
  </si>
  <si>
    <t>Total Bollywood Movies</t>
  </si>
  <si>
    <t>% of Bollywood movie</t>
  </si>
  <si>
    <t>Bollywood Budget</t>
  </si>
  <si>
    <t>Bollywood revenue</t>
  </si>
  <si>
    <t>Hollywood revenue</t>
  </si>
  <si>
    <t>Average revenue</t>
  </si>
  <si>
    <t>Hollywood movies</t>
  </si>
  <si>
    <t>Key Metrics</t>
  </si>
  <si>
    <t>Marvel Consolidated P&amp;L</t>
  </si>
  <si>
    <t>Revenue</t>
  </si>
  <si>
    <t>Budget</t>
  </si>
  <si>
    <t>Profit/Loss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</si>
</sst>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0" fontId="0" fillId="3" borderId="0" xfId="0" applyFill="1"/>
    <xf numFmtId="164" fontId="0" fillId="3" borderId="0" xfId="0" applyNumberFormat="1" applyFill="1"/>
    <xf numFmtId="44" fontId="0" fillId="3" borderId="0" xfId="1" applyFont="1" applyFill="1"/>
    <xf numFmtId="165" fontId="0" fillId="3" borderId="0" xfId="0" applyNumberFormat="1" applyFill="1"/>
    <xf numFmtId="9" fontId="0" fillId="0" borderId="0" xfId="2" applyFont="1"/>
    <xf numFmtId="0" fontId="0" fillId="4" borderId="0" xfId="0" applyFill="1"/>
    <xf numFmtId="9" fontId="0" fillId="4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AE843E39-C0BB-439B-8FFD-C1F7AAB2B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Q40" totalsRowShown="0" headerRowDxfId="17">
  <autoFilter ref="A1:Q40" xr:uid="{6A7FE39D-5614-4A7F-89B7-C167ABC0A251}"/>
  <tableColumns count="17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16">
      <calculatedColumnFormula array="1">_xlfn.XLOOKUP(Movies[[#This Row],[movie_id]:[movie_id]],Financials[[#All],[movie_id]:[movie_id]],Financials[[#All],[budget]],"Not Available",0)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Available",0)</calculatedColumnFormula>
    </tableColumn>
    <tableColumn id="15" xr3:uid="{4FC460F8-5501-4B3D-B612-AA6EA53F088D}" name="unit" dataDxfId="15">
      <calculatedColumnFormula array="1">_xlfn.XLOOKUP(Movies[[#This Row],[movie_id]:[movie_id]],Financials[[#All],[movie_id]:[movie_id]],Financials[[#All],[unit]],"Not Available",0)</calculatedColumnFormula>
    </tableColumn>
    <tableColumn id="16" xr3:uid="{71AF9D00-263F-48BA-A598-7B2DDE3DCFC0}" name="currency" dataDxfId="14">
      <calculatedColumnFormula array="1">_xlfn.XLOOKUP(Movies[[#This Row],[movie_id]:[movie_id]],Financials[[#All],[movie_id]:[movie_id]],Financials[[#All],[currency]],"Not Available",0)</calculatedColumnFormula>
    </tableColumn>
    <tableColumn id="2" xr3:uid="{B6BA2A99-F066-40A3-9296-01B350CD5DE5}" name="budget mln" dataDxfId="13">
      <calculatedColumnFormula>IF(Movies[[#This Row],[unit]]="Billions",Movies[[#This Row],[budget]]*1000,Movies[[#This Row],[budget]])</calculatedColumnFormula>
    </tableColumn>
    <tableColumn id="9" xr3:uid="{841F225B-D322-48AC-BE94-2E0F69FBE86B}" name="revenue(mln)" dataDxfId="12">
      <calculatedColumnFormula>IF(Movies[[#This Row],[unit]]="Billions",Movies[[#This Row],[revenue]]*1000,Movies[[#This Row],[revenue]])</calculatedColumnFormula>
    </tableColumn>
    <tableColumn id="10" xr3:uid="{2C9C2DBC-3F47-4CF2-9E09-1DB82D0CB04A}" name="Budget INR" dataDxfId="11">
      <calculatedColumnFormula>IF(Movies[[#This Row],[currency]]="USD",Movies[[#This Row],[budget mln]]*80,Movies[[#This Row],[budget mln]])</calculatedColumnFormula>
    </tableColumn>
    <tableColumn id="11" xr3:uid="{3D2B3426-0E78-470F-993F-6813C3D42096}" name="revenue INR" dataDxfId="10">
      <calculatedColumnFormula>IF(Movies[[#This Row],[currency]]="USD",Movies[[#This Row],[revenue(mln)]]*80,Movies[[#This Row],[revenue(mln)]])</calculatedColumnFormula>
    </tableColumn>
    <tableColumn id="12" xr3:uid="{347EBD29-E933-41F3-A5AB-E48F095B91F3}" name="budget USD" dataDxfId="5">
      <calculatedColumnFormula>IF(Movies[[#This Row],[currency]]="INR",Movies[[#This Row],[budget mln]]/80,Movies[[#This Row],[budget mln]])</calculatedColumnFormula>
    </tableColumn>
    <tableColumn id="13" xr3:uid="{D4B63638-CAB9-4B5B-BFB0-618923323E54}" name="revenue USD" dataDxfId="4">
      <calculatedColumnFormula>IF(Movies[[#This Row],[currency]]="INR",Movies[[#This Row],[revenue(mln)]]/80,Movies[[#This Row],[revenue(mln)]])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9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8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7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6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opLeftCell="I24" zoomScale="151" zoomScaleNormal="130" workbookViewId="0">
      <selection activeCell="B47" sqref="B47"/>
    </sheetView>
  </sheetViews>
  <sheetFormatPr defaultRowHeight="14.4" x14ac:dyDescent="0.3"/>
  <cols>
    <col min="1" max="1" width="11.88671875" customWidth="1"/>
    <col min="2" max="2" width="29.6640625" customWidth="1"/>
    <col min="3" max="3" width="10.5546875" bestFit="1" customWidth="1"/>
    <col min="4" max="4" width="9" customWidth="1"/>
    <col min="5" max="5" width="11.6640625" customWidth="1"/>
    <col min="6" max="6" width="22" customWidth="1"/>
    <col min="7" max="7" width="7.77734375" customWidth="1"/>
    <col min="8" max="9" width="16.6640625" customWidth="1"/>
    <col min="10" max="10" width="13.109375" customWidth="1"/>
    <col min="12" max="12" width="12.6640625" customWidth="1"/>
    <col min="13" max="13" width="14.44140625" customWidth="1"/>
    <col min="14" max="14" width="17.5546875" customWidth="1"/>
    <col min="15" max="15" width="15.44140625" customWidth="1"/>
    <col min="16" max="16" width="13.5546875" customWidth="1"/>
    <col min="17" max="17" width="12.21875" customWidth="1"/>
  </cols>
  <sheetData>
    <row r="1" spans="1:17" x14ac:dyDescent="0.3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</row>
    <row r="2" spans="1:17" x14ac:dyDescent="0.3">
      <c r="A2">
        <v>101</v>
      </c>
      <c r="B2" t="s">
        <v>117</v>
      </c>
      <c r="C2" t="s">
        <v>6</v>
      </c>
      <c r="D2">
        <v>2022</v>
      </c>
      <c r="E2">
        <v>8.4</v>
      </c>
      <c r="F2" t="s">
        <v>115</v>
      </c>
      <c r="G2">
        <v>3</v>
      </c>
      <c r="H2" cm="1">
        <f t="array" ref="H2">_xlfn.XLOOKUP(Movies[[#This Row],[movie_id]:[movie_id]],Financials[[#All],[movie_id]:[movie_id]],Financials[[#All],[budget]],"Not Available",0)</f>
        <v>1</v>
      </c>
      <c r="I2" cm="1">
        <f t="array" ref="I2">_xlfn.XLOOKUP(Movies[[#This Row],[movie_id]:[movie_id]],Financials[[#All],[movie_id]:[movie_id]],Financials[[#All],[revenue]],"Not Available",0)</f>
        <v>12.5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  <c r="L2">
        <f>IF(Movies[[#This Row],[unit]]="Billions",Movies[[#This Row],[budget]]*1000,Movies[[#This Row],[budget]])</f>
        <v>1000</v>
      </c>
      <c r="M2">
        <f>IF(Movies[[#This Row],[unit]]="Billions",Movies[[#This Row],[revenue]]*1000,Movies[[#This Row],[revenue]])</f>
        <v>12500</v>
      </c>
      <c r="N2">
        <f>IF(Movies[[#This Row],[currency]]="USD",Movies[[#This Row],[budget mln]]*80,Movies[[#This Row],[budget mln]])</f>
        <v>1000</v>
      </c>
      <c r="O2">
        <f>IF(Movies[[#This Row],[currency]]="USD",Movies[[#This Row],[revenue(mln)]]*80,Movies[[#This Row],[revenue(mln)]])</f>
        <v>12500</v>
      </c>
      <c r="P2">
        <f>IF(Movies[[#This Row],[currency]]="INR",Movies[[#This Row],[budget mln]]/80,Movies[[#This Row],[budget mln]])</f>
        <v>12.5</v>
      </c>
      <c r="Q2" s="3">
        <f>IF(Movies[[#This Row],[currency]]="INR",Movies[[#This Row],[revenue(mln)]]/80,Movies[[#This Row],[revenue(mln)]])</f>
        <v>156.25</v>
      </c>
    </row>
    <row r="3" spans="1:17" x14ac:dyDescent="0.3">
      <c r="A3">
        <v>102</v>
      </c>
      <c r="B3" t="s">
        <v>118</v>
      </c>
      <c r="C3" t="s">
        <v>7</v>
      </c>
      <c r="D3">
        <v>2022</v>
      </c>
      <c r="E3">
        <v>7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Available",0)</f>
        <v>200</v>
      </c>
      <c r="I3" cm="1">
        <f t="array" ref="I3">_xlfn.XLOOKUP(Movies[[#This Row],[movie_id]:[movie_id]],Financials[[#All],[movie_id]:[movie_id]],Financials[[#All],[revenue]],"Not Available",0)</f>
        <v>954.8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  <c r="L3">
        <f>IF(Movies[[#This Row],[unit]]="Billions",Movies[[#This Row],[budget]]*1000,Movies[[#This Row],[budget]])</f>
        <v>200</v>
      </c>
      <c r="M3">
        <f>IF(Movies[[#This Row],[unit]]="Billions",Movies[[#This Row],[revenue]]*1000,Movies[[#This Row],[revenue]])</f>
        <v>954.8</v>
      </c>
      <c r="N3">
        <f>IF(Movies[[#This Row],[currency]]="USD",Movies[[#This Row],[budget mln]]*80,Movies[[#This Row],[budget mln]])</f>
        <v>16000</v>
      </c>
      <c r="O3">
        <f>IF(Movies[[#This Row],[currency]]="USD",Movies[[#This Row],[revenue(mln)]]*80,Movies[[#This Row],[revenue(mln)]])</f>
        <v>76384</v>
      </c>
      <c r="P3">
        <f>IF(Movies[[#This Row],[currency]]="INR",Movies[[#This Row],[budget mln]]/80,Movies[[#This Row],[budget mln]])</f>
        <v>200</v>
      </c>
      <c r="Q3" s="3">
        <f>IF(Movies[[#This Row],[currency]]="INR",Movies[[#This Row],[revenue(mln)]]/80,Movies[[#This Row],[revenue(mln)]])</f>
        <v>954.8</v>
      </c>
    </row>
    <row r="4" spans="1:17" x14ac:dyDescent="0.3">
      <c r="A4">
        <v>103</v>
      </c>
      <c r="B4" t="s">
        <v>119</v>
      </c>
      <c r="C4" t="s">
        <v>7</v>
      </c>
      <c r="D4">
        <v>2013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Available",0)</f>
        <v>165</v>
      </c>
      <c r="I4" cm="1">
        <f t="array" ref="I4">_xlfn.XLOOKUP(Movies[[#This Row],[movie_id]:[movie_id]],Financials[[#All],[movie_id]:[movie_id]],Financials[[#All],[revenue]],"Not Available",0)</f>
        <v>644.79999999999995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  <c r="L4">
        <f>IF(Movies[[#This Row],[unit]]="Billions",Movies[[#This Row],[budget]]*1000,Movies[[#This Row],[budget]])</f>
        <v>165</v>
      </c>
      <c r="M4">
        <f>IF(Movies[[#This Row],[unit]]="Billions",Movies[[#This Row],[revenue]]*1000,Movies[[#This Row],[revenue]])</f>
        <v>644.79999999999995</v>
      </c>
      <c r="N4">
        <f>IF(Movies[[#This Row],[currency]]="USD",Movies[[#This Row],[budget mln]]*80,Movies[[#This Row],[budget mln]])</f>
        <v>13200</v>
      </c>
      <c r="O4">
        <f>IF(Movies[[#This Row],[currency]]="USD",Movies[[#This Row],[revenue(mln)]]*80,Movies[[#This Row],[revenue(mln)]])</f>
        <v>51584</v>
      </c>
      <c r="P4">
        <f>IF(Movies[[#This Row],[currency]]="INR",Movies[[#This Row],[budget mln]]/80,Movies[[#This Row],[budget mln]])</f>
        <v>165</v>
      </c>
      <c r="Q4" s="3">
        <f>IF(Movies[[#This Row],[currency]]="INR",Movies[[#This Row],[revenue(mln)]]/80,Movies[[#This Row],[revenue(mln)]])</f>
        <v>644.79999999999995</v>
      </c>
    </row>
    <row r="5" spans="1:17" x14ac:dyDescent="0.3">
      <c r="A5">
        <v>104</v>
      </c>
      <c r="B5" t="s">
        <v>120</v>
      </c>
      <c r="C5" t="s">
        <v>7</v>
      </c>
      <c r="D5">
        <v>2017</v>
      </c>
      <c r="E5">
        <v>7.9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Available",0)</f>
        <v>180</v>
      </c>
      <c r="I5" cm="1">
        <f t="array" ref="I5">_xlfn.XLOOKUP(Movies[[#This Row],[movie_id]:[movie_id]],Financials[[#All],[movie_id]:[movie_id]],Financials[[#All],[revenue]],"Not Available",0)</f>
        <v>854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  <c r="L5">
        <f>IF(Movies[[#This Row],[unit]]="Billions",Movies[[#This Row],[budget]]*1000,Movies[[#This Row],[budget]])</f>
        <v>180</v>
      </c>
      <c r="M5">
        <f>IF(Movies[[#This Row],[unit]]="Billions",Movies[[#This Row],[revenue]]*1000,Movies[[#This Row],[revenue]])</f>
        <v>854</v>
      </c>
      <c r="N5">
        <f>IF(Movies[[#This Row],[currency]]="USD",Movies[[#This Row],[budget mln]]*80,Movies[[#This Row],[budget mln]])</f>
        <v>14400</v>
      </c>
      <c r="O5">
        <f>IF(Movies[[#This Row],[currency]]="USD",Movies[[#This Row],[revenue(mln)]]*80,Movies[[#This Row],[revenue(mln)]])</f>
        <v>68320</v>
      </c>
      <c r="P5">
        <f>IF(Movies[[#This Row],[currency]]="INR",Movies[[#This Row],[budget mln]]/80,Movies[[#This Row],[budget mln]])</f>
        <v>180</v>
      </c>
      <c r="Q5" s="3">
        <f>IF(Movies[[#This Row],[currency]]="INR",Movies[[#This Row],[revenue(mln)]]/80,Movies[[#This Row],[revenue(mln)]])</f>
        <v>854</v>
      </c>
    </row>
    <row r="6" spans="1:17" x14ac:dyDescent="0.3">
      <c r="A6">
        <v>105</v>
      </c>
      <c r="B6" t="s">
        <v>121</v>
      </c>
      <c r="C6" t="s">
        <v>7</v>
      </c>
      <c r="D6">
        <v>2022</v>
      </c>
      <c r="E6">
        <v>6.8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Available",0)</f>
        <v>250</v>
      </c>
      <c r="I6" cm="1">
        <f t="array" ref="I6">_xlfn.XLOOKUP(Movies[[#This Row],[movie_id]:[movie_id]],Financials[[#All],[movie_id]:[movie_id]],Financials[[#All],[revenue]],"Not Available",0)</f>
        <v>670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  <c r="L6">
        <f>IF(Movies[[#This Row],[unit]]="Billions",Movies[[#This Row],[budget]]*1000,Movies[[#This Row],[budget]])</f>
        <v>250</v>
      </c>
      <c r="M6">
        <f>IF(Movies[[#This Row],[unit]]="Billions",Movies[[#This Row],[revenue]]*1000,Movies[[#This Row],[revenue]])</f>
        <v>670</v>
      </c>
      <c r="N6">
        <f>IF(Movies[[#This Row],[currency]]="USD",Movies[[#This Row],[budget mln]]*80,Movies[[#This Row],[budget mln]])</f>
        <v>20000</v>
      </c>
      <c r="O6">
        <f>IF(Movies[[#This Row],[currency]]="USD",Movies[[#This Row],[revenue(mln)]]*80,Movies[[#This Row],[revenue(mln)]])</f>
        <v>53600</v>
      </c>
      <c r="P6">
        <f>IF(Movies[[#This Row],[currency]]="INR",Movies[[#This Row],[budget mln]]/80,Movies[[#This Row],[budget mln]])</f>
        <v>250</v>
      </c>
      <c r="Q6" s="3">
        <f>IF(Movies[[#This Row],[currency]]="INR",Movies[[#This Row],[revenue(mln)]]/80,Movies[[#This Row],[revenue(mln)]])</f>
        <v>670</v>
      </c>
    </row>
    <row r="7" spans="1:17" x14ac:dyDescent="0.3">
      <c r="A7">
        <v>106</v>
      </c>
      <c r="B7" t="s">
        <v>122</v>
      </c>
      <c r="C7" t="s">
        <v>6</v>
      </c>
      <c r="D7">
        <v>1975</v>
      </c>
      <c r="E7">
        <v>8.1</v>
      </c>
      <c r="F7" t="s">
        <v>9</v>
      </c>
      <c r="G7">
        <v>1</v>
      </c>
      <c r="H7" t="str" cm="1">
        <f t="array" ref="H7">_xlfn.XLOOKUP(Movies[[#This Row],[movie_id]:[movie_id]],Financials[[#All],[movie_id]:[movie_id]],Financials[[#All],[budget]],"Not Available",0)</f>
        <v>Not Available</v>
      </c>
      <c r="I7" t="str" cm="1">
        <f t="array" ref="I7">_xlfn.XLOOKUP(Movies[[#This Row],[movie_id]:[movie_id]],Financials[[#All],[movie_id]:[movie_id]],Financials[[#All],[revenue]],"Not Available",0)</f>
        <v>Not Available</v>
      </c>
      <c r="J7" t="str" cm="1">
        <f t="array" ref="J7">_xlfn.XLOOKUP(Movies[[#This Row],[movie_id]:[movie_id]],Financials[[#All],[movie_id]:[movie_id]],Financials[[#All],[unit]],"Not Available",0)</f>
        <v>Not Available</v>
      </c>
      <c r="K7" t="str" cm="1">
        <f t="array" ref="K7">_xlfn.XLOOKUP(Movies[[#This Row],[movie_id]:[movie_id]],Financials[[#All],[movie_id]:[movie_id]],Financials[[#All],[currency]],"Not Available",0)</f>
        <v>Not Available</v>
      </c>
      <c r="L7" t="str">
        <f>IF(Movies[[#This Row],[unit]]="Billions",Movies[[#This Row],[budget]]*1000,Movies[[#This Row],[budget]])</f>
        <v>Not Available</v>
      </c>
      <c r="M7" t="str">
        <f>IF(Movies[[#This Row],[unit]]="Billions",Movies[[#This Row],[revenue]]*1000,Movies[[#This Row],[revenue]])</f>
        <v>Not Available</v>
      </c>
      <c r="N7" t="str">
        <f>IF(Movies[[#This Row],[currency]]="USD",Movies[[#This Row],[budget mln]]*80,Movies[[#This Row],[budget mln]])</f>
        <v>Not Available</v>
      </c>
      <c r="O7" t="str">
        <f>IF(Movies[[#This Row],[currency]]="USD",Movies[[#This Row],[revenue(mln)]]*80,Movies[[#This Row],[revenue(mln)]])</f>
        <v>Not Available</v>
      </c>
      <c r="P7" t="str">
        <f>IF(Movies[[#This Row],[currency]]="INR",Movies[[#This Row],[budget mln]]/80,Movies[[#This Row],[budget mln]])</f>
        <v>Not Available</v>
      </c>
      <c r="Q7" s="3" t="str">
        <f>IF(Movies[[#This Row],[currency]]="INR",Movies[[#This Row],[revenue(mln)]]/80,Movies[[#This Row],[revenue(mln)]])</f>
        <v>Not Available</v>
      </c>
    </row>
    <row r="8" spans="1:17" x14ac:dyDescent="0.3">
      <c r="A8">
        <v>107</v>
      </c>
      <c r="B8" t="s">
        <v>123</v>
      </c>
      <c r="C8" t="s">
        <v>6</v>
      </c>
      <c r="D8">
        <v>1995</v>
      </c>
      <c r="E8">
        <v>8</v>
      </c>
      <c r="F8" t="s">
        <v>10</v>
      </c>
      <c r="G8">
        <v>1</v>
      </c>
      <c r="H8" cm="1">
        <f t="array" ref="H8">_xlfn.XLOOKUP(Movies[[#This Row],[movie_id]:[movie_id]],Financials[[#All],[movie_id]:[movie_id]],Financials[[#All],[budget]],"Not Available",0)</f>
        <v>400</v>
      </c>
      <c r="I8" cm="1">
        <f t="array" ref="I8">_xlfn.XLOOKUP(Movies[[#This Row],[movie_id]:[movie_id]],Financials[[#All],[movie_id]:[movie_id]],Financials[[#All],[revenue]],"Not Available",0)</f>
        <v>2000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  <c r="L8">
        <f>IF(Movies[[#This Row],[unit]]="Billions",Movies[[#This Row],[budget]]*1000,Movies[[#This Row],[budget]])</f>
        <v>400</v>
      </c>
      <c r="M8">
        <f>IF(Movies[[#This Row],[unit]]="Billions",Movies[[#This Row],[revenue]]*1000,Movies[[#This Row],[revenue]])</f>
        <v>2000</v>
      </c>
      <c r="N8">
        <f>IF(Movies[[#This Row],[currency]]="USD",Movies[[#This Row],[budget mln]]*80,Movies[[#This Row],[budget mln]])</f>
        <v>400</v>
      </c>
      <c r="O8">
        <f>IF(Movies[[#This Row],[currency]]="USD",Movies[[#This Row],[revenue(mln)]]*80,Movies[[#This Row],[revenue(mln)]])</f>
        <v>2000</v>
      </c>
      <c r="P8">
        <f>IF(Movies[[#This Row],[currency]]="INR",Movies[[#This Row],[budget mln]]/80,Movies[[#This Row],[budget mln]])</f>
        <v>5</v>
      </c>
      <c r="Q8" s="3">
        <f>IF(Movies[[#This Row],[currency]]="INR",Movies[[#This Row],[revenue(mln)]]/80,Movies[[#This Row],[revenue(mln)]])</f>
        <v>25</v>
      </c>
    </row>
    <row r="9" spans="1:17" x14ac:dyDescent="0.3">
      <c r="A9">
        <v>108</v>
      </c>
      <c r="B9" t="s">
        <v>124</v>
      </c>
      <c r="C9" t="s">
        <v>6</v>
      </c>
      <c r="D9">
        <v>2009</v>
      </c>
      <c r="E9">
        <v>8.4</v>
      </c>
      <c r="F9" t="s">
        <v>11</v>
      </c>
      <c r="G9">
        <v>1</v>
      </c>
      <c r="H9" cm="1">
        <f t="array" ref="H9">_xlfn.XLOOKUP(Movies[[#This Row],[movie_id]:[movie_id]],Financials[[#All],[movie_id]:[movie_id]],Financials[[#All],[budget]],"Not Available",0)</f>
        <v>550</v>
      </c>
      <c r="I9" cm="1">
        <f t="array" ref="I9">_xlfn.XLOOKUP(Movies[[#This Row],[movie_id]:[movie_id]],Financials[[#All],[movie_id]:[movie_id]],Financials[[#All],[revenue]],"Not Available",0)</f>
        <v>4000</v>
      </c>
      <c r="J9" t="str" cm="1">
        <f t="array" ref="J9">_xlfn.XLOOKUP(Movies[[#This Row],[movie_id]:[movie_id]],Financials[[#All],[movie_id]:[movie_id]],Financials[[#All],[unit]],"Not Available",0)</f>
        <v>Millions</v>
      </c>
      <c r="K9" t="str" cm="1">
        <f t="array" ref="K9">_xlfn.XLOOKUP(Movies[[#This Row],[movie_id]:[movie_id]],Financials[[#All],[movie_id]:[movie_id]],Financials[[#All],[currency]],"Not Available",0)</f>
        <v>INR</v>
      </c>
      <c r="L9">
        <f>IF(Movies[[#This Row],[unit]]="Billions",Movies[[#This Row],[budget]]*1000,Movies[[#This Row],[budget]])</f>
        <v>550</v>
      </c>
      <c r="M9">
        <f>IF(Movies[[#This Row],[unit]]="Billions",Movies[[#This Row],[revenue]]*1000,Movies[[#This Row],[revenue]])</f>
        <v>4000</v>
      </c>
      <c r="N9">
        <f>IF(Movies[[#This Row],[currency]]="USD",Movies[[#This Row],[budget mln]]*80,Movies[[#This Row],[budget mln]])</f>
        <v>550</v>
      </c>
      <c r="O9">
        <f>IF(Movies[[#This Row],[currency]]="USD",Movies[[#This Row],[revenue(mln)]]*80,Movies[[#This Row],[revenue(mln)]])</f>
        <v>4000</v>
      </c>
      <c r="P9">
        <f>IF(Movies[[#This Row],[currency]]="INR",Movies[[#This Row],[budget mln]]/80,Movies[[#This Row],[budget mln]])</f>
        <v>6.875</v>
      </c>
      <c r="Q9" s="3">
        <f>IF(Movies[[#This Row],[currency]]="INR",Movies[[#This Row],[revenue(mln)]]/80,Movies[[#This Row],[revenue(mln)]])</f>
        <v>50</v>
      </c>
    </row>
    <row r="10" spans="1:17" x14ac:dyDescent="0.3">
      <c r="A10">
        <v>109</v>
      </c>
      <c r="B10" t="s">
        <v>125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 cm="1">
        <f t="array" ref="H10">_xlfn.XLOOKUP(Movies[[#This Row],[movie_id]:[movie_id]],Financials[[#All],[movie_id]:[movie_id]],Financials[[#All],[budget]],"Not Available",0)</f>
        <v>390</v>
      </c>
      <c r="I10" cm="1">
        <f t="array" ref="I10">_xlfn.XLOOKUP(Movies[[#This Row],[movie_id]:[movie_id]],Financials[[#All],[movie_id]:[movie_id]],Financials[[#All],[revenue]],"Not Available",0)</f>
        <v>1360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INR</v>
      </c>
      <c r="L10">
        <f>IF(Movies[[#This Row],[unit]]="Billions",Movies[[#This Row],[budget]]*1000,Movies[[#This Row],[budget]])</f>
        <v>390</v>
      </c>
      <c r="M10">
        <f>IF(Movies[[#This Row],[unit]]="Billions",Movies[[#This Row],[revenue]]*1000,Movies[[#This Row],[revenue]])</f>
        <v>1360</v>
      </c>
      <c r="N10">
        <f>IF(Movies[[#This Row],[currency]]="USD",Movies[[#This Row],[budget mln]]*80,Movies[[#This Row],[budget mln]])</f>
        <v>390</v>
      </c>
      <c r="O10">
        <f>IF(Movies[[#This Row],[currency]]="USD",Movies[[#This Row],[revenue(mln)]]*80,Movies[[#This Row],[revenue(mln)]])</f>
        <v>1360</v>
      </c>
      <c r="P10">
        <f>IF(Movies[[#This Row],[currency]]="INR",Movies[[#This Row],[budget mln]]/80,Movies[[#This Row],[budget mln]])</f>
        <v>4.875</v>
      </c>
      <c r="Q10" s="3">
        <f>IF(Movies[[#This Row],[currency]]="INR",Movies[[#This Row],[revenue(mln)]]/80,Movies[[#This Row],[revenue(mln)]])</f>
        <v>17</v>
      </c>
    </row>
    <row r="11" spans="1:17" x14ac:dyDescent="0.3">
      <c r="A11">
        <v>110</v>
      </c>
      <c r="B11" t="s">
        <v>126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 cm="1">
        <f t="array" ref="H11">_xlfn.XLOOKUP(Movies[[#This Row],[movie_id]:[movie_id]],Financials[[#All],[movie_id]:[movie_id]],Financials[[#All],[budget]],"Not Available",0)</f>
        <v>1.4</v>
      </c>
      <c r="I11" cm="1">
        <f t="array" ref="I11">_xlfn.XLOOKUP(Movies[[#This Row],[movie_id]:[movie_id]],Financials[[#All],[movie_id]:[movie_id]],Financials[[#All],[revenue]],"Not Available",0)</f>
        <v>3.5</v>
      </c>
      <c r="J11" t="str" cm="1">
        <f t="array" ref="J11">_xlfn.XLOOKUP(Movies[[#This Row],[movie_id]:[movie_id]],Financials[[#All],[movie_id]:[movie_id]],Financials[[#All],[unit]],"Not Available",0)</f>
        <v>Billions</v>
      </c>
      <c r="K11" t="str" cm="1">
        <f t="array" ref="K11">_xlfn.XLOOKUP(Movies[[#This Row],[movie_id]:[movie_id]],Financials[[#All],[movie_id]:[movie_id]],Financials[[#All],[currency]],"Not Available",0)</f>
        <v>INR</v>
      </c>
      <c r="L11">
        <f>IF(Movies[[#This Row],[unit]]="Billions",Movies[[#This Row],[budget]]*1000,Movies[[#This Row],[budget]])</f>
        <v>1400</v>
      </c>
      <c r="M11">
        <f>IF(Movies[[#This Row],[unit]]="Billions",Movies[[#This Row],[revenue]]*1000,Movies[[#This Row],[revenue]])</f>
        <v>3500</v>
      </c>
      <c r="N11">
        <f>IF(Movies[[#This Row],[currency]]="USD",Movies[[#This Row],[budget mln]]*80,Movies[[#This Row],[budget mln]])</f>
        <v>1400</v>
      </c>
      <c r="O11">
        <f>IF(Movies[[#This Row],[currency]]="USD",Movies[[#This Row],[revenue(mln)]]*80,Movies[[#This Row],[revenue(mln)]])</f>
        <v>3500</v>
      </c>
      <c r="P11">
        <f>IF(Movies[[#This Row],[currency]]="INR",Movies[[#This Row],[budget mln]]/80,Movies[[#This Row],[budget mln]])</f>
        <v>17.5</v>
      </c>
      <c r="Q11" s="3">
        <f>IF(Movies[[#This Row],[currency]]="INR",Movies[[#This Row],[revenue(mln)]]/80,Movies[[#This Row],[revenue(mln)]])</f>
        <v>43.75</v>
      </c>
    </row>
    <row r="12" spans="1:17" x14ac:dyDescent="0.3">
      <c r="A12">
        <v>111</v>
      </c>
      <c r="B12" t="s">
        <v>127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 cm="1">
        <f t="array" ref="H12">_xlfn.XLOOKUP(Movies[[#This Row],[movie_id]:[movie_id]],Financials[[#All],[movie_id]:[movie_id]],Financials[[#All],[budget]],"Not Available",0)</f>
        <v>25</v>
      </c>
      <c r="I12" cm="1">
        <f t="array" ref="I12">_xlfn.XLOOKUP(Movies[[#This Row],[movie_id]:[movie_id]],Financials[[#All],[movie_id]:[movie_id]],Financials[[#All],[revenue]],"Not Available",0)</f>
        <v>73.3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  <c r="L12">
        <f>IF(Movies[[#This Row],[unit]]="Billions",Movies[[#This Row],[budget]]*1000,Movies[[#This Row],[budget]])</f>
        <v>25</v>
      </c>
      <c r="M12">
        <f>IF(Movies[[#This Row],[unit]]="Billions",Movies[[#This Row],[revenue]]*1000,Movies[[#This Row],[revenue]])</f>
        <v>73.3</v>
      </c>
      <c r="N12">
        <f>IF(Movies[[#This Row],[currency]]="USD",Movies[[#This Row],[budget mln]]*80,Movies[[#This Row],[budget mln]])</f>
        <v>2000</v>
      </c>
      <c r="O12">
        <f>IF(Movies[[#This Row],[currency]]="USD",Movies[[#This Row],[revenue(mln)]]*80,Movies[[#This Row],[revenue(mln)]])</f>
        <v>5864</v>
      </c>
      <c r="P12">
        <f>IF(Movies[[#This Row],[currency]]="INR",Movies[[#This Row],[budget mln]]/80,Movies[[#This Row],[budget mln]])</f>
        <v>25</v>
      </c>
      <c r="Q12" s="3">
        <f>IF(Movies[[#This Row],[currency]]="INR",Movies[[#This Row],[revenue(mln)]]/80,Movies[[#This Row],[revenue(mln)]])</f>
        <v>73.3</v>
      </c>
    </row>
    <row r="13" spans="1:17" x14ac:dyDescent="0.3">
      <c r="A13">
        <v>112</v>
      </c>
      <c r="B13" t="s">
        <v>128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str" cm="1">
        <f t="array" ref="H13">_xlfn.XLOOKUP(Movies[[#This Row],[movie_id]:[movie_id]],Financials[[#All],[movie_id]:[movie_id]],Financials[[#All],[budget]],"Not Available",0)</f>
        <v>Not Available</v>
      </c>
      <c r="I13" t="str" cm="1">
        <f t="array" ref="I13">_xlfn.XLOOKUP(Movies[[#This Row],[movie_id]:[movie_id]],Financials[[#All],[movie_id]:[movie_id]],Financials[[#All],[revenue]],"Not Available",0)</f>
        <v>Not Available</v>
      </c>
      <c r="J13" t="str" cm="1">
        <f t="array" ref="J13">_xlfn.XLOOKUP(Movies[[#This Row],[movie_id]:[movie_id]],Financials[[#All],[movie_id]:[movie_id]],Financials[[#All],[unit]],"Not Available",0)</f>
        <v>Not Available</v>
      </c>
      <c r="K13" t="str" cm="1">
        <f t="array" ref="K13">_xlfn.XLOOKUP(Movies[[#This Row],[movie_id]:[movie_id]],Financials[[#All],[movie_id]:[movie_id]],Financials[[#All],[currency]],"Not Available",0)</f>
        <v>Not Available</v>
      </c>
      <c r="L13" t="str">
        <f>IF(Movies[[#This Row],[unit]]="Billions",Movies[[#This Row],[budget]]*1000,Movies[[#This Row],[budget]])</f>
        <v>Not Available</v>
      </c>
      <c r="M13" t="str">
        <f>IF(Movies[[#This Row],[unit]]="Billions",Movies[[#This Row],[revenue]]*1000,Movies[[#This Row],[revenue]])</f>
        <v>Not Available</v>
      </c>
      <c r="N13" t="str">
        <f>IF(Movies[[#This Row],[currency]]="USD",Movies[[#This Row],[budget mln]]*80,Movies[[#This Row],[budget mln]])</f>
        <v>Not Available</v>
      </c>
      <c r="O13" t="str">
        <f>IF(Movies[[#This Row],[currency]]="USD",Movies[[#This Row],[revenue(mln)]]*80,Movies[[#This Row],[revenue(mln)]])</f>
        <v>Not Available</v>
      </c>
      <c r="P13" t="str">
        <f>IF(Movies[[#This Row],[currency]]="INR",Movies[[#This Row],[budget mln]]/80,Movies[[#This Row],[budget mln]])</f>
        <v>Not Available</v>
      </c>
      <c r="Q13" s="3" t="str">
        <f>IF(Movies[[#This Row],[currency]]="INR",Movies[[#This Row],[revenue(mln)]]/80,Movies[[#This Row],[revenue(mln)]])</f>
        <v>Not Available</v>
      </c>
    </row>
    <row r="14" spans="1:17" x14ac:dyDescent="0.3">
      <c r="A14">
        <v>113</v>
      </c>
      <c r="B14" t="s">
        <v>129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 cm="1">
        <f t="array" ref="H14">_xlfn.XLOOKUP(Movies[[#This Row],[movie_id]:[movie_id]],Financials[[#All],[movie_id]:[movie_id]],Financials[[#All],[budget]],"Not Available",0)</f>
        <v>165</v>
      </c>
      <c r="I14" cm="1">
        <f t="array" ref="I14">_xlfn.XLOOKUP(Movies[[#This Row],[movie_id]:[movie_id]],Financials[[#All],[movie_id]:[movie_id]],Financials[[#All],[revenue]],"Not Available",0)</f>
        <v>701.8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USD</v>
      </c>
      <c r="L14">
        <f>IF(Movies[[#This Row],[unit]]="Billions",Movies[[#This Row],[budget]]*1000,Movies[[#This Row],[budget]])</f>
        <v>165</v>
      </c>
      <c r="M14">
        <f>IF(Movies[[#This Row],[unit]]="Billions",Movies[[#This Row],[revenue]]*1000,Movies[[#This Row],[revenue]])</f>
        <v>701.8</v>
      </c>
      <c r="N14">
        <f>IF(Movies[[#This Row],[currency]]="USD",Movies[[#This Row],[budget mln]]*80,Movies[[#This Row],[budget mln]])</f>
        <v>13200</v>
      </c>
      <c r="O14">
        <f>IF(Movies[[#This Row],[currency]]="USD",Movies[[#This Row],[revenue(mln)]]*80,Movies[[#This Row],[revenue(mln)]])</f>
        <v>56144</v>
      </c>
      <c r="P14">
        <f>IF(Movies[[#This Row],[currency]]="INR",Movies[[#This Row],[budget mln]]/80,Movies[[#This Row],[budget mln]])</f>
        <v>165</v>
      </c>
      <c r="Q14" s="3">
        <f>IF(Movies[[#This Row],[currency]]="INR",Movies[[#This Row],[revenue(mln)]]/80,Movies[[#This Row],[revenue(mln)]])</f>
        <v>701.8</v>
      </c>
    </row>
    <row r="15" spans="1:17" x14ac:dyDescent="0.3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307.10000000000002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  <c r="L15">
        <f>IF(Movies[[#This Row],[unit]]="Billions",Movies[[#This Row],[budget]]*1000,Movies[[#This Row],[budget]])</f>
        <v>55</v>
      </c>
      <c r="M15">
        <f>IF(Movies[[#This Row],[unit]]="Billions",Movies[[#This Row],[revenue]]*1000,Movies[[#This Row],[revenue]])</f>
        <v>307.10000000000002</v>
      </c>
      <c r="N15">
        <f>IF(Movies[[#This Row],[currency]]="USD",Movies[[#This Row],[budget mln]]*80,Movies[[#This Row],[budget mln]])</f>
        <v>4400</v>
      </c>
      <c r="O15">
        <f>IF(Movies[[#This Row],[currency]]="USD",Movies[[#This Row],[revenue(mln)]]*80,Movies[[#This Row],[revenue(mln)]])</f>
        <v>24568</v>
      </c>
      <c r="P15">
        <f>IF(Movies[[#This Row],[currency]]="INR",Movies[[#This Row],[budget mln]]/80,Movies[[#This Row],[budget mln]])</f>
        <v>55</v>
      </c>
      <c r="Q15" s="3">
        <f>IF(Movies[[#This Row],[currency]]="INR",Movies[[#This Row],[revenue(mln)]]/80,Movies[[#This Row],[revenue(mln)]])</f>
        <v>307.10000000000002</v>
      </c>
    </row>
    <row r="16" spans="1:17" x14ac:dyDescent="0.3">
      <c r="A16">
        <v>116</v>
      </c>
      <c r="B16" t="s">
        <v>131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 cm="1">
        <f t="array" ref="H16">_xlfn.XLOOKUP(Movies[[#This Row],[movie_id]:[movie_id]],Financials[[#All],[movie_id]:[movie_id]],Financials[[#All],[budget]],"Not Available",0)</f>
        <v>103</v>
      </c>
      <c r="I16" cm="1">
        <f t="array" ref="I16">_xlfn.XLOOKUP(Movies[[#This Row],[movie_id]:[movie_id]],Financials[[#All],[movie_id]:[movie_id]],Financials[[#All],[revenue]],"Not Available",0)</f>
        <v>460.5</v>
      </c>
      <c r="J16" t="str" cm="1">
        <f t="array" ref="J16">_xlfn.XLOOKUP(Movies[[#This Row],[movie_id]:[movie_id]],Financials[[#All],[movie_id]:[movie_id]],Financials[[#All],[unit]],"Not Available",0)</f>
        <v>Millions</v>
      </c>
      <c r="K16" t="str" cm="1">
        <f t="array" ref="K16">_xlfn.XLOOKUP(Movies[[#This Row],[movie_id]:[movie_id]],Financials[[#All],[movie_id]:[movie_id]],Financials[[#All],[currency]],"Not Available",0)</f>
        <v>USD</v>
      </c>
      <c r="L16">
        <f>IF(Movies[[#This Row],[unit]]="Billions",Movies[[#This Row],[budget]]*1000,Movies[[#This Row],[budget]])</f>
        <v>103</v>
      </c>
      <c r="M16">
        <f>IF(Movies[[#This Row],[unit]]="Billions",Movies[[#This Row],[revenue]]*1000,Movies[[#This Row],[revenue]])</f>
        <v>460.5</v>
      </c>
      <c r="N16">
        <f>IF(Movies[[#This Row],[currency]]="USD",Movies[[#This Row],[budget mln]]*80,Movies[[#This Row],[budget mln]])</f>
        <v>8240</v>
      </c>
      <c r="O16">
        <f>IF(Movies[[#This Row],[currency]]="USD",Movies[[#This Row],[revenue(mln)]]*80,Movies[[#This Row],[revenue(mln)]])</f>
        <v>36840</v>
      </c>
      <c r="P16">
        <f>IF(Movies[[#This Row],[currency]]="INR",Movies[[#This Row],[budget mln]]/80,Movies[[#This Row],[budget mln]])</f>
        <v>103</v>
      </c>
      <c r="Q16" s="3">
        <f>IF(Movies[[#This Row],[currency]]="INR",Movies[[#This Row],[revenue(mln)]]/80,Movies[[#This Row],[revenue(mln)]])</f>
        <v>460.5</v>
      </c>
    </row>
    <row r="17" spans="1:17" x14ac:dyDescent="0.3">
      <c r="A17">
        <v>117</v>
      </c>
      <c r="B17" t="s">
        <v>132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 cm="1">
        <f t="array" ref="H17">_xlfn.XLOOKUP(Movies[[#This Row],[movie_id]:[movie_id]],Financials[[#All],[movie_id]:[movie_id]],Financials[[#All],[budget]],"Not Available",0)</f>
        <v>200</v>
      </c>
      <c r="I17" cm="1">
        <f t="array" ref="I17">_xlfn.XLOOKUP(Movies[[#This Row],[movie_id]:[movie_id]],Financials[[#All],[movie_id]:[movie_id]],Financials[[#All],[revenue]],"Not Available",0)</f>
        <v>2202</v>
      </c>
      <c r="J17" t="str" cm="1">
        <f t="array" ref="J17">_xlfn.XLOOKUP(Movies[[#This Row],[movie_id]:[movie_id]],Financials[[#All],[movie_id]:[movie_id]],Financials[[#All],[unit]],"Not Available",0)</f>
        <v>Millions</v>
      </c>
      <c r="K17" t="str" cm="1">
        <f t="array" ref="K17">_xlfn.XLOOKUP(Movies[[#This Row],[movie_id]:[movie_id]],Financials[[#All],[movie_id]:[movie_id]],Financials[[#All],[currency]],"Not Available",0)</f>
        <v>USD</v>
      </c>
      <c r="L17">
        <f>IF(Movies[[#This Row],[unit]]="Billions",Movies[[#This Row],[budget]]*1000,Movies[[#This Row],[budget]])</f>
        <v>200</v>
      </c>
      <c r="M17">
        <f>IF(Movies[[#This Row],[unit]]="Billions",Movies[[#This Row],[revenue]]*1000,Movies[[#This Row],[revenue]])</f>
        <v>2202</v>
      </c>
      <c r="N17">
        <f>IF(Movies[[#This Row],[currency]]="USD",Movies[[#This Row],[budget mln]]*80,Movies[[#This Row],[budget mln]])</f>
        <v>16000</v>
      </c>
      <c r="O17">
        <f>IF(Movies[[#This Row],[currency]]="USD",Movies[[#This Row],[revenue(mln)]]*80,Movies[[#This Row],[revenue(mln)]])</f>
        <v>176160</v>
      </c>
      <c r="P17">
        <f>IF(Movies[[#This Row],[currency]]="INR",Movies[[#This Row],[budget mln]]/80,Movies[[#This Row],[budget mln]])</f>
        <v>200</v>
      </c>
      <c r="Q17" s="3">
        <f>IF(Movies[[#This Row],[currency]]="INR",Movies[[#This Row],[revenue(mln)]]/80,Movies[[#This Row],[revenue(mln)]])</f>
        <v>2202</v>
      </c>
    </row>
    <row r="18" spans="1:17" x14ac:dyDescent="0.3">
      <c r="A18">
        <v>118</v>
      </c>
      <c r="B18" t="s">
        <v>133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 cm="1">
        <f t="array" ref="H18">_xlfn.XLOOKUP(Movies[[#This Row],[movie_id]:[movie_id]],Financials[[#All],[movie_id]:[movie_id]],Financials[[#All],[budget]],"Not Available",0)</f>
        <v>3.18</v>
      </c>
      <c r="I18" cm="1">
        <f t="array" ref="I18">_xlfn.XLOOKUP(Movies[[#This Row],[movie_id]:[movie_id]],Financials[[#All],[movie_id]:[movie_id]],Financials[[#All],[revenue]],"Not Available",0)</f>
        <v>3.3</v>
      </c>
      <c r="J18" t="str" cm="1">
        <f t="array" ref="J18">_xlfn.XLOOKUP(Movies[[#This Row],[movie_id]:[movie_id]],Financials[[#All],[movie_id]:[movie_id]],Financials[[#All],[unit]],"Not Available",0)</f>
        <v>Millions</v>
      </c>
      <c r="K18" t="str" cm="1">
        <f t="array" ref="K18">_xlfn.XLOOKUP(Movies[[#This Row],[movie_id]:[movie_id]],Financials[[#All],[movie_id]:[movie_id]],Financials[[#All],[currency]],"Not Available",0)</f>
        <v>USD</v>
      </c>
      <c r="L18">
        <f>IF(Movies[[#This Row],[unit]]="Billions",Movies[[#This Row],[budget]]*1000,Movies[[#This Row],[budget]])</f>
        <v>3.18</v>
      </c>
      <c r="M18">
        <f>IF(Movies[[#This Row],[unit]]="Billions",Movies[[#This Row],[revenue]]*1000,Movies[[#This Row],[revenue]])</f>
        <v>3.3</v>
      </c>
      <c r="N18">
        <f>IF(Movies[[#This Row],[currency]]="USD",Movies[[#This Row],[budget mln]]*80,Movies[[#This Row],[budget mln]])</f>
        <v>254.4</v>
      </c>
      <c r="O18">
        <f>IF(Movies[[#This Row],[currency]]="USD",Movies[[#This Row],[revenue(mln)]]*80,Movies[[#This Row],[revenue(mln)]])</f>
        <v>264</v>
      </c>
      <c r="P18">
        <f>IF(Movies[[#This Row],[currency]]="INR",Movies[[#This Row],[budget mln]]/80,Movies[[#This Row],[budget mln]])</f>
        <v>3.18</v>
      </c>
      <c r="Q18" s="3">
        <f>IF(Movies[[#This Row],[currency]]="INR",Movies[[#This Row],[revenue(mln)]]/80,Movies[[#This Row],[revenue(mln)]])</f>
        <v>3.3</v>
      </c>
    </row>
    <row r="19" spans="1:17" x14ac:dyDescent="0.3">
      <c r="A19">
        <v>119</v>
      </c>
      <c r="B19" t="s">
        <v>134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 cm="1">
        <f t="array" ref="H19">_xlfn.XLOOKUP(Movies[[#This Row],[movie_id]:[movie_id]],Financials[[#All],[movie_id]:[movie_id]],Financials[[#All],[budget]],"Not Available",0)</f>
        <v>237</v>
      </c>
      <c r="I19" cm="1">
        <f t="array" ref="I19">_xlfn.XLOOKUP(Movies[[#This Row],[movie_id]:[movie_id]],Financials[[#All],[movie_id]:[movie_id]],Financials[[#All],[revenue]],"Not Available",0)</f>
        <v>2847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USD</v>
      </c>
      <c r="L19">
        <f>IF(Movies[[#This Row],[unit]]="Billions",Movies[[#This Row],[budget]]*1000,Movies[[#This Row],[budget]])</f>
        <v>237</v>
      </c>
      <c r="M19">
        <f>IF(Movies[[#This Row],[unit]]="Billions",Movies[[#This Row],[revenue]]*1000,Movies[[#This Row],[revenue]])</f>
        <v>2847</v>
      </c>
      <c r="N19">
        <f>IF(Movies[[#This Row],[currency]]="USD",Movies[[#This Row],[budget mln]]*80,Movies[[#This Row],[budget mln]])</f>
        <v>18960</v>
      </c>
      <c r="O19">
        <f>IF(Movies[[#This Row],[currency]]="USD",Movies[[#This Row],[revenue(mln)]]*80,Movies[[#This Row],[revenue(mln)]])</f>
        <v>227760</v>
      </c>
      <c r="P19">
        <f>IF(Movies[[#This Row],[currency]]="INR",Movies[[#This Row],[budget mln]]/80,Movies[[#This Row],[budget mln]])</f>
        <v>237</v>
      </c>
      <c r="Q19" s="3">
        <f>IF(Movies[[#This Row],[currency]]="INR",Movies[[#This Row],[revenue(mln)]]/80,Movies[[#This Row],[revenue(mln)]])</f>
        <v>2847</v>
      </c>
    </row>
    <row r="20" spans="1:17" x14ac:dyDescent="0.3">
      <c r="A20">
        <v>120</v>
      </c>
      <c r="B20" t="s">
        <v>135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 cm="1">
        <f t="array" ref="H20">_xlfn.XLOOKUP(Movies[[#This Row],[movie_id]:[movie_id]],Financials[[#All],[movie_id]:[movie_id]],Financials[[#All],[budget]],"Not Available",0)</f>
        <v>7.2</v>
      </c>
      <c r="I20" cm="1">
        <f t="array" ref="I20">_xlfn.XLOOKUP(Movies[[#This Row],[movie_id]:[movie_id]],Financials[[#All],[movie_id]:[movie_id]],Financials[[#All],[revenue]],"Not Available",0)</f>
        <v>291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USD</v>
      </c>
      <c r="L20">
        <f>IF(Movies[[#This Row],[unit]]="Billions",Movies[[#This Row],[budget]]*1000,Movies[[#This Row],[budget]])</f>
        <v>7.2</v>
      </c>
      <c r="M20">
        <f>IF(Movies[[#This Row],[unit]]="Billions",Movies[[#This Row],[revenue]]*1000,Movies[[#This Row],[revenue]])</f>
        <v>291</v>
      </c>
      <c r="N20">
        <f>IF(Movies[[#This Row],[currency]]="USD",Movies[[#This Row],[budget mln]]*80,Movies[[#This Row],[budget mln]])</f>
        <v>576</v>
      </c>
      <c r="O20">
        <f>IF(Movies[[#This Row],[currency]]="USD",Movies[[#This Row],[revenue(mln)]]*80,Movies[[#This Row],[revenue(mln)]])</f>
        <v>23280</v>
      </c>
      <c r="P20">
        <f>IF(Movies[[#This Row],[currency]]="INR",Movies[[#This Row],[budget mln]]/80,Movies[[#This Row],[budget mln]])</f>
        <v>7.2</v>
      </c>
      <c r="Q20" s="3">
        <f>IF(Movies[[#This Row],[currency]]="INR",Movies[[#This Row],[revenue(mln)]]/80,Movies[[#This Row],[revenue(mln)]])</f>
        <v>291</v>
      </c>
    </row>
    <row r="21" spans="1:17" x14ac:dyDescent="0.3">
      <c r="A21">
        <v>121</v>
      </c>
      <c r="B21" t="s">
        <v>136</v>
      </c>
      <c r="C21" t="s">
        <v>7</v>
      </c>
      <c r="D21">
        <v>2008</v>
      </c>
      <c r="E21">
        <v>9</v>
      </c>
      <c r="F21" t="s">
        <v>19</v>
      </c>
      <c r="G21">
        <v>5</v>
      </c>
      <c r="H21" cm="1">
        <f t="array" ref="H21">_xlfn.XLOOKUP(Movies[[#This Row],[movie_id]:[movie_id]],Financials[[#All],[movie_id]:[movie_id]],Financials[[#All],[budget]],"Not Available",0)</f>
        <v>185</v>
      </c>
      <c r="I21" cm="1">
        <f t="array" ref="I21">_xlfn.XLOOKUP(Movies[[#This Row],[movie_id]:[movie_id]],Financials[[#All],[movie_id]:[movie_id]],Financials[[#All],[revenue]],"Not Available",0)</f>
        <v>1006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USD</v>
      </c>
      <c r="L21">
        <f>IF(Movies[[#This Row],[unit]]="Billions",Movies[[#This Row],[budget]]*1000,Movies[[#This Row],[budget]])</f>
        <v>185</v>
      </c>
      <c r="M21">
        <f>IF(Movies[[#This Row],[unit]]="Billions",Movies[[#This Row],[revenue]]*1000,Movies[[#This Row],[revenue]])</f>
        <v>1006</v>
      </c>
      <c r="N21">
        <f>IF(Movies[[#This Row],[currency]]="USD",Movies[[#This Row],[budget mln]]*80,Movies[[#This Row],[budget mln]])</f>
        <v>14800</v>
      </c>
      <c r="O21">
        <f>IF(Movies[[#This Row],[currency]]="USD",Movies[[#This Row],[revenue(mln)]]*80,Movies[[#This Row],[revenue(mln)]])</f>
        <v>80480</v>
      </c>
      <c r="P21">
        <f>IF(Movies[[#This Row],[currency]]="INR",Movies[[#This Row],[budget mln]]/80,Movies[[#This Row],[budget mln]])</f>
        <v>185</v>
      </c>
      <c r="Q21" s="3">
        <f>IF(Movies[[#This Row],[currency]]="INR",Movies[[#This Row],[revenue(mln)]]/80,Movies[[#This Row],[revenue(mln)]])</f>
        <v>1006</v>
      </c>
    </row>
    <row r="22" spans="1:17" x14ac:dyDescent="0.3">
      <c r="A22">
        <v>122</v>
      </c>
      <c r="B22" t="s">
        <v>137</v>
      </c>
      <c r="C22" t="s">
        <v>7</v>
      </c>
      <c r="D22">
        <v>1993</v>
      </c>
      <c r="E22">
        <v>9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Available",0)</f>
        <v>22</v>
      </c>
      <c r="I22" cm="1">
        <f t="array" ref="I22">_xlfn.XLOOKUP(Movies[[#This Row],[movie_id]:[movie_id]],Financials[[#All],[movie_id]:[movie_id]],Financials[[#All],[revenue]],"Not Available",0)</f>
        <v>322.2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  <c r="L22">
        <f>IF(Movies[[#This Row],[unit]]="Billions",Movies[[#This Row],[budget]]*1000,Movies[[#This Row],[budget]])</f>
        <v>22</v>
      </c>
      <c r="M22">
        <f>IF(Movies[[#This Row],[unit]]="Billions",Movies[[#This Row],[revenue]]*1000,Movies[[#This Row],[revenue]])</f>
        <v>322.2</v>
      </c>
      <c r="N22">
        <f>IF(Movies[[#This Row],[currency]]="USD",Movies[[#This Row],[budget mln]]*80,Movies[[#This Row],[budget mln]])</f>
        <v>1760</v>
      </c>
      <c r="O22">
        <f>IF(Movies[[#This Row],[currency]]="USD",Movies[[#This Row],[revenue(mln)]]*80,Movies[[#This Row],[revenue(mln)]])</f>
        <v>25776</v>
      </c>
      <c r="P22">
        <f>IF(Movies[[#This Row],[currency]]="INR",Movies[[#This Row],[budget mln]]/80,Movies[[#This Row],[budget mln]])</f>
        <v>22</v>
      </c>
      <c r="Q22" s="3">
        <f>IF(Movies[[#This Row],[currency]]="INR",Movies[[#This Row],[revenue(mln)]]/80,Movies[[#This Row],[revenue(mln)]])</f>
        <v>322.2</v>
      </c>
    </row>
    <row r="23" spans="1:17" x14ac:dyDescent="0.3">
      <c r="A23">
        <v>123</v>
      </c>
      <c r="B23" t="s">
        <v>138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 cm="1">
        <f t="array" ref="H23">_xlfn.XLOOKUP(Movies[[#This Row],[movie_id]:[movie_id]],Financials[[#All],[movie_id]:[movie_id]],Financials[[#All],[budget]],"Not Available",0)</f>
        <v>63</v>
      </c>
      <c r="I23" cm="1">
        <f t="array" ref="I23">_xlfn.XLOOKUP(Movies[[#This Row],[movie_id]:[movie_id]],Financials[[#All],[movie_id]:[movie_id]],Financials[[#All],[revenue]],"Not Available",0)</f>
        <v>1046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USD</v>
      </c>
      <c r="L23">
        <f>IF(Movies[[#This Row],[unit]]="Billions",Movies[[#This Row],[budget]]*1000,Movies[[#This Row],[budget]])</f>
        <v>63</v>
      </c>
      <c r="M23">
        <f>IF(Movies[[#This Row],[unit]]="Billions",Movies[[#This Row],[revenue]]*1000,Movies[[#This Row],[revenue]])</f>
        <v>1046</v>
      </c>
      <c r="N23">
        <f>IF(Movies[[#This Row],[currency]]="USD",Movies[[#This Row],[budget mln]]*80,Movies[[#This Row],[budget mln]])</f>
        <v>5040</v>
      </c>
      <c r="O23">
        <f>IF(Movies[[#This Row],[currency]]="USD",Movies[[#This Row],[revenue(mln)]]*80,Movies[[#This Row],[revenue(mln)]])</f>
        <v>83680</v>
      </c>
      <c r="P23">
        <f>IF(Movies[[#This Row],[currency]]="INR",Movies[[#This Row],[budget mln]]/80,Movies[[#This Row],[budget mln]])</f>
        <v>63</v>
      </c>
      <c r="Q23" s="3">
        <f>IF(Movies[[#This Row],[currency]]="INR",Movies[[#This Row],[revenue(mln)]]/80,Movies[[#This Row],[revenue(mln)]])</f>
        <v>1046</v>
      </c>
    </row>
    <row r="24" spans="1:17" x14ac:dyDescent="0.3">
      <c r="A24">
        <v>124</v>
      </c>
      <c r="B24" t="s">
        <v>139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 cm="1">
        <f t="array" ref="H24">_xlfn.XLOOKUP(Movies[[#This Row],[movie_id]:[movie_id]],Financials[[#All],[movie_id]:[movie_id]],Financials[[#All],[budget]],"Not Available",0)</f>
        <v>15.5</v>
      </c>
      <c r="I24" cm="1">
        <f t="array" ref="I24">_xlfn.XLOOKUP(Movies[[#This Row],[movie_id]:[movie_id]],Financials[[#All],[movie_id]:[movie_id]],Financials[[#All],[revenue]],"Not Available",0)</f>
        <v>263.10000000000002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USD</v>
      </c>
      <c r="L24">
        <f>IF(Movies[[#This Row],[unit]]="Billions",Movies[[#This Row],[budget]]*1000,Movies[[#This Row],[budget]])</f>
        <v>15.5</v>
      </c>
      <c r="M24">
        <f>IF(Movies[[#This Row],[unit]]="Billions",Movies[[#This Row],[revenue]]*1000,Movies[[#This Row],[revenue]])</f>
        <v>263.10000000000002</v>
      </c>
      <c r="N24">
        <f>IF(Movies[[#This Row],[currency]]="USD",Movies[[#This Row],[budget mln]]*80,Movies[[#This Row],[budget mln]])</f>
        <v>1240</v>
      </c>
      <c r="O24">
        <f>IF(Movies[[#This Row],[currency]]="USD",Movies[[#This Row],[revenue(mln)]]*80,Movies[[#This Row],[revenue(mln)]])</f>
        <v>21048</v>
      </c>
      <c r="P24">
        <f>IF(Movies[[#This Row],[currency]]="INR",Movies[[#This Row],[budget mln]]/80,Movies[[#This Row],[budget mln]])</f>
        <v>15.5</v>
      </c>
      <c r="Q24" s="3">
        <f>IF(Movies[[#This Row],[currency]]="INR",Movies[[#This Row],[revenue(mln)]]/80,Movies[[#This Row],[revenue(mln)]])</f>
        <v>263.10000000000002</v>
      </c>
    </row>
    <row r="25" spans="1:17" x14ac:dyDescent="0.3">
      <c r="A25">
        <v>125</v>
      </c>
      <c r="B25" t="s">
        <v>140</v>
      </c>
      <c r="C25" t="s">
        <v>7</v>
      </c>
      <c r="D25">
        <v>2019</v>
      </c>
      <c r="E25">
        <v>8.4</v>
      </c>
      <c r="F25" t="s">
        <v>8</v>
      </c>
      <c r="G25">
        <v>5</v>
      </c>
      <c r="H25" cm="1">
        <f t="array" ref="H25">_xlfn.XLOOKUP(Movies[[#This Row],[movie_id]:[movie_id]],Financials[[#All],[movie_id]:[movie_id]],Financials[[#All],[budget]],"Not Available",0)</f>
        <v>400</v>
      </c>
      <c r="I25" cm="1">
        <f t="array" ref="I25">_xlfn.XLOOKUP(Movies[[#This Row],[movie_id]:[movie_id]],Financials[[#All],[movie_id]:[movie_id]],Financials[[#All],[revenue]],"Not Available",0)</f>
        <v>2798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USD</v>
      </c>
      <c r="L25">
        <f>IF(Movies[[#This Row],[unit]]="Billions",Movies[[#This Row],[budget]]*1000,Movies[[#This Row],[budget]])</f>
        <v>400</v>
      </c>
      <c r="M25">
        <f>IF(Movies[[#This Row],[unit]]="Billions",Movies[[#This Row],[revenue]]*1000,Movies[[#This Row],[revenue]])</f>
        <v>2798</v>
      </c>
      <c r="N25">
        <f>IF(Movies[[#This Row],[currency]]="USD",Movies[[#This Row],[budget mln]]*80,Movies[[#This Row],[budget mln]])</f>
        <v>32000</v>
      </c>
      <c r="O25">
        <f>IF(Movies[[#This Row],[currency]]="USD",Movies[[#This Row],[revenue(mln)]]*80,Movies[[#This Row],[revenue(mln)]])</f>
        <v>223840</v>
      </c>
      <c r="P25">
        <f>IF(Movies[[#This Row],[currency]]="INR",Movies[[#This Row],[budget mln]]/80,Movies[[#This Row],[budget mln]])</f>
        <v>400</v>
      </c>
      <c r="Q25" s="3">
        <f>IF(Movies[[#This Row],[currency]]="INR",Movies[[#This Row],[revenue(mln)]]/80,Movies[[#This Row],[revenue(mln)]])</f>
        <v>2798</v>
      </c>
    </row>
    <row r="26" spans="1:17" x14ac:dyDescent="0.3">
      <c r="A26">
        <v>126</v>
      </c>
      <c r="B26" t="s">
        <v>141</v>
      </c>
      <c r="C26" t="s">
        <v>7</v>
      </c>
      <c r="D26">
        <v>2018</v>
      </c>
      <c r="E26">
        <v>8.4</v>
      </c>
      <c r="F26" t="s">
        <v>8</v>
      </c>
      <c r="G26">
        <v>5</v>
      </c>
      <c r="H26" cm="1">
        <f t="array" ref="H26">_xlfn.XLOOKUP(Movies[[#This Row],[movie_id]:[movie_id]],Financials[[#All],[movie_id]:[movie_id]],Financials[[#All],[budget]],"Not Available",0)</f>
        <v>400</v>
      </c>
      <c r="I26" cm="1">
        <f t="array" ref="I26">_xlfn.XLOOKUP(Movies[[#This Row],[movie_id]:[movie_id]],Financials[[#All],[movie_id]:[movie_id]],Financials[[#All],[revenue]],"Not Available",0)</f>
        <v>2048</v>
      </c>
      <c r="J26" t="str" cm="1">
        <f t="array" ref="J26">_xlfn.XLOOKUP(Movies[[#This Row],[movie_id]:[movie_id]],Financials[[#All],[movie_id]:[movie_id]],Financials[[#All],[unit]],"Not Available",0)</f>
        <v>Millions</v>
      </c>
      <c r="K26" t="str" cm="1">
        <f t="array" ref="K26">_xlfn.XLOOKUP(Movies[[#This Row],[movie_id]:[movie_id]],Financials[[#All],[movie_id]:[movie_id]],Financials[[#All],[currency]],"Not Available",0)</f>
        <v>USD</v>
      </c>
      <c r="L26">
        <f>IF(Movies[[#This Row],[unit]]="Billions",Movies[[#This Row],[budget]]*1000,Movies[[#This Row],[budget]])</f>
        <v>400</v>
      </c>
      <c r="M26">
        <f>IF(Movies[[#This Row],[unit]]="Billions",Movies[[#This Row],[revenue]]*1000,Movies[[#This Row],[revenue]])</f>
        <v>2048</v>
      </c>
      <c r="N26">
        <f>IF(Movies[[#This Row],[currency]]="USD",Movies[[#This Row],[budget mln]]*80,Movies[[#This Row],[budget mln]])</f>
        <v>32000</v>
      </c>
      <c r="O26">
        <f>IF(Movies[[#This Row],[currency]]="USD",Movies[[#This Row],[revenue(mln)]]*80,Movies[[#This Row],[revenue(mln)]])</f>
        <v>163840</v>
      </c>
      <c r="P26">
        <f>IF(Movies[[#This Row],[currency]]="INR",Movies[[#This Row],[budget mln]]/80,Movies[[#This Row],[budget mln]])</f>
        <v>400</v>
      </c>
      <c r="Q26" s="3">
        <f>IF(Movies[[#This Row],[currency]]="INR",Movies[[#This Row],[revenue(mln)]]/80,Movies[[#This Row],[revenue(mln)]])</f>
        <v>2048</v>
      </c>
    </row>
    <row r="27" spans="1:17" x14ac:dyDescent="0.3">
      <c r="A27">
        <v>127</v>
      </c>
      <c r="B27" t="s">
        <v>142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 cm="1">
        <f t="array" ref="H27">_xlfn.XLOOKUP(Movies[[#This Row],[movie_id]:[movie_id]],Financials[[#All],[movie_id]:[movie_id]],Financials[[#All],[budget]],"Not Available",0)</f>
        <v>70</v>
      </c>
      <c r="I27" cm="1">
        <f t="array" ref="I27">_xlfn.XLOOKUP(Movies[[#This Row],[movie_id]:[movie_id]],Financials[[#All],[movie_id]:[movie_id]],Financials[[#All],[revenue]],"Not Available",0)</f>
        <v>100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  <c r="L27">
        <f>IF(Movies[[#This Row],[unit]]="Billions",Movies[[#This Row],[budget]]*1000,Movies[[#This Row],[budget]])</f>
        <v>70</v>
      </c>
      <c r="M27">
        <f>IF(Movies[[#This Row],[unit]]="Billions",Movies[[#This Row],[revenue]]*1000,Movies[[#This Row],[revenue]])</f>
        <v>100</v>
      </c>
      <c r="N27">
        <f>IF(Movies[[#This Row],[currency]]="USD",Movies[[#This Row],[budget mln]]*80,Movies[[#This Row],[budget mln]])</f>
        <v>70</v>
      </c>
      <c r="O27">
        <f>IF(Movies[[#This Row],[currency]]="USD",Movies[[#This Row],[revenue(mln)]]*80,Movies[[#This Row],[revenue(mln)]])</f>
        <v>100</v>
      </c>
      <c r="P27">
        <f>IF(Movies[[#This Row],[currency]]="INR",Movies[[#This Row],[budget mln]]/80,Movies[[#This Row],[budget mln]])</f>
        <v>0.875</v>
      </c>
      <c r="Q27" s="3">
        <f>IF(Movies[[#This Row],[currency]]="INR",Movies[[#This Row],[revenue(mln)]]/80,Movies[[#This Row],[revenue(mln)]])</f>
        <v>1.25</v>
      </c>
    </row>
    <row r="28" spans="1:17" x14ac:dyDescent="0.3">
      <c r="A28">
        <v>128</v>
      </c>
      <c r="B28" t="s">
        <v>143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 cm="1">
        <f t="array" ref="H28">_xlfn.XLOOKUP(Movies[[#This Row],[movie_id]:[movie_id]],Financials[[#All],[movie_id]:[movie_id]],Financials[[#All],[budget]],"Not Available",0)</f>
        <v>120</v>
      </c>
      <c r="I28" cm="1">
        <f t="array" ref="I28">_xlfn.XLOOKUP(Movies[[#This Row],[movie_id]:[movie_id]],Financials[[#All],[movie_id]:[movie_id]],Financials[[#All],[revenue]],"Not Available",0)</f>
        <v>1350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INR</v>
      </c>
      <c r="L28">
        <f>IF(Movies[[#This Row],[unit]]="Billions",Movies[[#This Row],[budget]]*1000,Movies[[#This Row],[budget]])</f>
        <v>120</v>
      </c>
      <c r="M28">
        <f>IF(Movies[[#This Row],[unit]]="Billions",Movies[[#This Row],[revenue]]*1000,Movies[[#This Row],[revenue]])</f>
        <v>1350</v>
      </c>
      <c r="N28">
        <f>IF(Movies[[#This Row],[currency]]="USD",Movies[[#This Row],[budget mln]]*80,Movies[[#This Row],[budget mln]])</f>
        <v>120</v>
      </c>
      <c r="O28">
        <f>IF(Movies[[#This Row],[currency]]="USD",Movies[[#This Row],[revenue(mln)]]*80,Movies[[#This Row],[revenue(mln)]])</f>
        <v>1350</v>
      </c>
      <c r="P28">
        <f>IF(Movies[[#This Row],[currency]]="INR",Movies[[#This Row],[budget mln]]/80,Movies[[#This Row],[budget mln]])</f>
        <v>1.5</v>
      </c>
      <c r="Q28" s="3">
        <f>IF(Movies[[#This Row],[currency]]="INR",Movies[[#This Row],[revenue(mln)]]/80,Movies[[#This Row],[revenue(mln)]])</f>
        <v>16.875</v>
      </c>
    </row>
    <row r="29" spans="1:17" x14ac:dyDescent="0.3">
      <c r="A29">
        <v>129</v>
      </c>
      <c r="B29" t="s">
        <v>144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 cm="1">
        <f t="array" ref="H29">_xlfn.XLOOKUP(Movies[[#This Row],[movie_id]:[movie_id]],Financials[[#All],[movie_id]:[movie_id]],Financials[[#All],[budget]],"Not Available",0)</f>
        <v>100</v>
      </c>
      <c r="I29" cm="1">
        <f t="array" ref="I29">_xlfn.XLOOKUP(Movies[[#This Row],[movie_id]:[movie_id]],Financials[[#All],[movie_id]:[movie_id]],Financials[[#All],[revenue]],"Not Available",0)</f>
        <v>410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INR</v>
      </c>
      <c r="L29">
        <f>IF(Movies[[#This Row],[unit]]="Billions",Movies[[#This Row],[budget]]*1000,Movies[[#This Row],[budget]])</f>
        <v>100</v>
      </c>
      <c r="M29">
        <f>IF(Movies[[#This Row],[unit]]="Billions",Movies[[#This Row],[revenue]]*1000,Movies[[#This Row],[revenue]])</f>
        <v>410</v>
      </c>
      <c r="N29">
        <f>IF(Movies[[#This Row],[currency]]="USD",Movies[[#This Row],[budget mln]]*80,Movies[[#This Row],[budget mln]])</f>
        <v>100</v>
      </c>
      <c r="O29">
        <f>IF(Movies[[#This Row],[currency]]="USD",Movies[[#This Row],[revenue(mln)]]*80,Movies[[#This Row],[revenue(mln)]])</f>
        <v>410</v>
      </c>
      <c r="P29">
        <f>IF(Movies[[#This Row],[currency]]="INR",Movies[[#This Row],[budget mln]]/80,Movies[[#This Row],[budget mln]])</f>
        <v>1.25</v>
      </c>
      <c r="Q29" s="3">
        <f>IF(Movies[[#This Row],[currency]]="INR",Movies[[#This Row],[revenue(mln)]]/80,Movies[[#This Row],[revenue(mln)]])</f>
        <v>5.125</v>
      </c>
    </row>
    <row r="30" spans="1:17" x14ac:dyDescent="0.3">
      <c r="A30">
        <v>130</v>
      </c>
      <c r="B30" t="s">
        <v>145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 cm="1">
        <f t="array" ref="H30">_xlfn.XLOOKUP(Movies[[#This Row],[movie_id]:[movie_id]],Financials[[#All],[movie_id]:[movie_id]],Financials[[#All],[budget]],"Not Available",0)</f>
        <v>850</v>
      </c>
      <c r="I30" cm="1">
        <f t="array" ref="I30">_xlfn.XLOOKUP(Movies[[#This Row],[movie_id]:[movie_id]],Financials[[#All],[movie_id]:[movie_id]],Financials[[#All],[revenue]],"Not Available",0)</f>
        <v>8540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  <c r="L30">
        <f>IF(Movies[[#This Row],[unit]]="Billions",Movies[[#This Row],[budget]]*1000,Movies[[#This Row],[budget]])</f>
        <v>850</v>
      </c>
      <c r="M30">
        <f>IF(Movies[[#This Row],[unit]]="Billions",Movies[[#This Row],[revenue]]*1000,Movies[[#This Row],[revenue]])</f>
        <v>8540</v>
      </c>
      <c r="N30">
        <f>IF(Movies[[#This Row],[currency]]="USD",Movies[[#This Row],[budget mln]]*80,Movies[[#This Row],[budget mln]])</f>
        <v>850</v>
      </c>
      <c r="O30">
        <f>IF(Movies[[#This Row],[currency]]="USD",Movies[[#This Row],[revenue(mln)]]*80,Movies[[#This Row],[revenue(mln)]])</f>
        <v>8540</v>
      </c>
      <c r="P30">
        <f>IF(Movies[[#This Row],[currency]]="INR",Movies[[#This Row],[budget mln]]/80,Movies[[#This Row],[budget mln]])</f>
        <v>10.625</v>
      </c>
      <c r="Q30" s="3">
        <f>IF(Movies[[#This Row],[currency]]="INR",Movies[[#This Row],[revenue(mln)]]/80,Movies[[#This Row],[revenue(mln)]])</f>
        <v>106.75</v>
      </c>
    </row>
    <row r="31" spans="1:17" x14ac:dyDescent="0.3">
      <c r="A31">
        <v>131</v>
      </c>
      <c r="B31" t="s">
        <v>146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 cm="1">
        <f t="array" ref="H31">_xlfn.XLOOKUP(Movies[[#This Row],[movie_id]:[movie_id]],Financials[[#All],[movie_id]:[movie_id]],Financials[[#All],[budget]],"Not Available",0)</f>
        <v>1</v>
      </c>
      <c r="I31" cm="1">
        <f t="array" ref="I31">_xlfn.XLOOKUP(Movies[[#This Row],[movie_id]:[movie_id]],Financials[[#All],[movie_id]:[movie_id]],Financials[[#All],[revenue]],"Not Available",0)</f>
        <v>5.9</v>
      </c>
      <c r="J31" t="str" cm="1">
        <f t="array" ref="J31">_xlfn.XLOOKUP(Movies[[#This Row],[movie_id]:[movie_id]],Financials[[#All],[movie_id]:[movie_id]],Financials[[#All],[unit]],"Not Available",0)</f>
        <v>Billions</v>
      </c>
      <c r="K31" t="str" cm="1">
        <f t="array" ref="K31">_xlfn.XLOOKUP(Movies[[#This Row],[movie_id]:[movie_id]],Financials[[#All],[movie_id]:[movie_id]],Financials[[#All],[currency]],"Not Available",0)</f>
        <v>INR</v>
      </c>
      <c r="L31">
        <f>IF(Movies[[#This Row],[unit]]="Billions",Movies[[#This Row],[budget]]*1000,Movies[[#This Row],[budget]])</f>
        <v>1000</v>
      </c>
      <c r="M31">
        <f>IF(Movies[[#This Row],[unit]]="Billions",Movies[[#This Row],[revenue]]*1000,Movies[[#This Row],[revenue]])</f>
        <v>5900</v>
      </c>
      <c r="N31">
        <f>IF(Movies[[#This Row],[currency]]="USD",Movies[[#This Row],[budget mln]]*80,Movies[[#This Row],[budget mln]])</f>
        <v>1000</v>
      </c>
      <c r="O31">
        <f>IF(Movies[[#This Row],[currency]]="USD",Movies[[#This Row],[revenue(mln)]]*80,Movies[[#This Row],[revenue(mln)]])</f>
        <v>5900</v>
      </c>
      <c r="P31">
        <f>IF(Movies[[#This Row],[currency]]="INR",Movies[[#This Row],[budget mln]]/80,Movies[[#This Row],[budget mln]])</f>
        <v>12.5</v>
      </c>
      <c r="Q31" s="3">
        <f>IF(Movies[[#This Row],[currency]]="INR",Movies[[#This Row],[revenue(mln)]]/80,Movies[[#This Row],[revenue(mln)]])</f>
        <v>73.75</v>
      </c>
    </row>
    <row r="32" spans="1:17" x14ac:dyDescent="0.3">
      <c r="A32">
        <v>132</v>
      </c>
      <c r="B32" t="s">
        <v>147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 cm="1">
        <f t="array" ref="H32">_xlfn.XLOOKUP(Movies[[#This Row],[movie_id]:[movie_id]],Financials[[#All],[movie_id]:[movie_id]],Financials[[#All],[budget]],"Not Available",0)</f>
        <v>2</v>
      </c>
      <c r="I32" cm="1">
        <f t="array" ref="I32">_xlfn.XLOOKUP(Movies[[#This Row],[movie_id]:[movie_id]],Financials[[#All],[movie_id]:[movie_id]],Financials[[#All],[revenue]],"Not Available",0)</f>
        <v>3.6</v>
      </c>
      <c r="J32" t="str" cm="1">
        <f t="array" ref="J32">_xlfn.XLOOKUP(Movies[[#This Row],[movie_id]:[movie_id]],Financials[[#All],[movie_id]:[movie_id]],Financials[[#All],[unit]],"Not Available",0)</f>
        <v>Billions</v>
      </c>
      <c r="K32" t="str" cm="1">
        <f t="array" ref="K32">_xlfn.XLOOKUP(Movies[[#This Row],[movie_id]:[movie_id]],Financials[[#All],[movie_id]:[movie_id]],Financials[[#All],[currency]],"Not Available",0)</f>
        <v>INR</v>
      </c>
      <c r="L32">
        <f>IF(Movies[[#This Row],[unit]]="Billions",Movies[[#This Row],[budget]]*1000,Movies[[#This Row],[budget]])</f>
        <v>2000</v>
      </c>
      <c r="M32">
        <f>IF(Movies[[#This Row],[unit]]="Billions",Movies[[#This Row],[revenue]]*1000,Movies[[#This Row],[revenue]])</f>
        <v>3600</v>
      </c>
      <c r="N32">
        <f>IF(Movies[[#This Row],[currency]]="USD",Movies[[#This Row],[budget mln]]*80,Movies[[#This Row],[budget mln]])</f>
        <v>2000</v>
      </c>
      <c r="O32">
        <f>IF(Movies[[#This Row],[currency]]="USD",Movies[[#This Row],[revenue(mln)]]*80,Movies[[#This Row],[revenue(mln)]])</f>
        <v>3600</v>
      </c>
      <c r="P32">
        <f>IF(Movies[[#This Row],[currency]]="INR",Movies[[#This Row],[budget mln]]/80,Movies[[#This Row],[budget mln]])</f>
        <v>25</v>
      </c>
      <c r="Q32" s="3">
        <f>IF(Movies[[#This Row],[currency]]="INR",Movies[[#This Row],[revenue(mln)]]/80,Movies[[#This Row],[revenue(mln)]])</f>
        <v>45</v>
      </c>
    </row>
    <row r="33" spans="1:17" x14ac:dyDescent="0.3">
      <c r="A33">
        <v>133</v>
      </c>
      <c r="B33" t="s">
        <v>148</v>
      </c>
      <c r="C33" t="s">
        <v>6</v>
      </c>
      <c r="D33">
        <v>2022</v>
      </c>
      <c r="E33">
        <v>8</v>
      </c>
      <c r="F33" t="s">
        <v>23</v>
      </c>
      <c r="G33">
        <v>2</v>
      </c>
      <c r="H33" cm="1">
        <f t="array" ref="H33">_xlfn.XLOOKUP(Movies[[#This Row],[movie_id]:[movie_id]],Financials[[#All],[movie_id]:[movie_id]],Financials[[#All],[budget]],"Not Available",0)</f>
        <v>5.5</v>
      </c>
      <c r="I33" cm="1">
        <f t="array" ref="I33">_xlfn.XLOOKUP(Movies[[#This Row],[movie_id]:[movie_id]],Financials[[#All],[movie_id]:[movie_id]],Financials[[#All],[revenue]],"Not Available",0)</f>
        <v>12</v>
      </c>
      <c r="J33" t="str" cm="1">
        <f t="array" ref="J33">_xlfn.XLOOKUP(Movies[[#This Row],[movie_id]:[movie_id]],Financials[[#All],[movie_id]:[movie_id]],Financials[[#All],[unit]],"Not Available",0)</f>
        <v>Billions</v>
      </c>
      <c r="K33" t="str" cm="1">
        <f t="array" ref="K33">_xlfn.XLOOKUP(Movies[[#This Row],[movie_id]:[movie_id]],Financials[[#All],[movie_id]:[movie_id]],Financials[[#All],[currency]],"Not Available",0)</f>
        <v>INR</v>
      </c>
      <c r="L33">
        <f>IF(Movies[[#This Row],[unit]]="Billions",Movies[[#This Row],[budget]]*1000,Movies[[#This Row],[budget]])</f>
        <v>5500</v>
      </c>
      <c r="M33">
        <f>IF(Movies[[#This Row],[unit]]="Billions",Movies[[#This Row],[revenue]]*1000,Movies[[#This Row],[revenue]])</f>
        <v>12000</v>
      </c>
      <c r="N33">
        <f>IF(Movies[[#This Row],[currency]]="USD",Movies[[#This Row],[budget mln]]*80,Movies[[#This Row],[budget mln]])</f>
        <v>5500</v>
      </c>
      <c r="O33">
        <f>IF(Movies[[#This Row],[currency]]="USD",Movies[[#This Row],[revenue(mln)]]*80,Movies[[#This Row],[revenue(mln)]])</f>
        <v>12000</v>
      </c>
      <c r="P33">
        <f>IF(Movies[[#This Row],[currency]]="INR",Movies[[#This Row],[budget mln]]/80,Movies[[#This Row],[budget mln]])</f>
        <v>68.75</v>
      </c>
      <c r="Q33" s="3">
        <f>IF(Movies[[#This Row],[currency]]="INR",Movies[[#This Row],[revenue(mln)]]/80,Movies[[#This Row],[revenue(mln)]])</f>
        <v>150</v>
      </c>
    </row>
    <row r="34" spans="1:17" x14ac:dyDescent="0.3">
      <c r="A34">
        <v>134</v>
      </c>
      <c r="B34" t="s">
        <v>149</v>
      </c>
      <c r="C34" t="s">
        <v>6</v>
      </c>
      <c r="D34">
        <v>2015</v>
      </c>
      <c r="E34">
        <v>8</v>
      </c>
      <c r="F34" t="s">
        <v>24</v>
      </c>
      <c r="G34">
        <v>2</v>
      </c>
      <c r="H34" cm="1">
        <f t="array" ref="H34">_xlfn.XLOOKUP(Movies[[#This Row],[movie_id]:[movie_id]],Financials[[#All],[movie_id]:[movie_id]],Financials[[#All],[budget]],"Not Available",0)</f>
        <v>1.8</v>
      </c>
      <c r="I34" cm="1">
        <f t="array" ref="I34">_xlfn.XLOOKUP(Movies[[#This Row],[movie_id]:[movie_id]],Financials[[#All],[movie_id]:[movie_id]],Financials[[#All],[revenue]],"Not Available",0)</f>
        <v>6.5</v>
      </c>
      <c r="J34" t="str" cm="1">
        <f t="array" ref="J34">_xlfn.XLOOKUP(Movies[[#This Row],[movie_id]:[movie_id]],Financials[[#All],[movie_id]:[movie_id]],Financials[[#All],[unit]],"Not Available",0)</f>
        <v>Billions</v>
      </c>
      <c r="K34" t="str" cm="1">
        <f t="array" ref="K34">_xlfn.XLOOKUP(Movies[[#This Row],[movie_id]:[movie_id]],Financials[[#All],[movie_id]:[movie_id]],Financials[[#All],[currency]],"Not Available",0)</f>
        <v>INR</v>
      </c>
      <c r="L34">
        <f>IF(Movies[[#This Row],[unit]]="Billions",Movies[[#This Row],[budget]]*1000,Movies[[#This Row],[budget]])</f>
        <v>1800</v>
      </c>
      <c r="M34">
        <f>IF(Movies[[#This Row],[unit]]="Billions",Movies[[#This Row],[revenue]]*1000,Movies[[#This Row],[revenue]])</f>
        <v>6500</v>
      </c>
      <c r="N34">
        <f>IF(Movies[[#This Row],[currency]]="USD",Movies[[#This Row],[budget mln]]*80,Movies[[#This Row],[budget mln]])</f>
        <v>1800</v>
      </c>
      <c r="O34">
        <f>IF(Movies[[#This Row],[currency]]="USD",Movies[[#This Row],[revenue(mln)]]*80,Movies[[#This Row],[revenue(mln)]])</f>
        <v>6500</v>
      </c>
      <c r="P34">
        <f>IF(Movies[[#This Row],[currency]]="INR",Movies[[#This Row],[budget mln]]/80,Movies[[#This Row],[budget mln]])</f>
        <v>22.5</v>
      </c>
      <c r="Q34" s="3">
        <f>IF(Movies[[#This Row],[currency]]="INR",Movies[[#This Row],[revenue(mln)]]/80,Movies[[#This Row],[revenue(mln)]])</f>
        <v>81.25</v>
      </c>
    </row>
    <row r="35" spans="1:17" x14ac:dyDescent="0.3">
      <c r="A35">
        <v>135</v>
      </c>
      <c r="B35" t="s">
        <v>150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 cm="1">
        <f t="array" ref="H35">_xlfn.XLOOKUP(Movies[[#This Row],[movie_id]:[movie_id]],Financials[[#All],[movie_id]:[movie_id]],Financials[[#All],[budget]],"Not Available",0)</f>
        <v>250</v>
      </c>
      <c r="I35" cm="1">
        <f t="array" ref="I35">_xlfn.XLOOKUP(Movies[[#This Row],[movie_id]:[movie_id]],Financials[[#All],[movie_id]:[movie_id]],Financials[[#All],[revenue]],"Not Available",0)</f>
        <v>3409</v>
      </c>
      <c r="J35" t="str" cm="1">
        <f t="array" ref="J35">_xlfn.XLOOKUP(Movies[[#This Row],[movie_id]:[movie_id]],Financials[[#All],[movie_id]:[movie_id]],Financials[[#All],[unit]],"Not Available",0)</f>
        <v>Millions</v>
      </c>
      <c r="K35" t="str" cm="1">
        <f t="array" ref="K35">_xlfn.XLOOKUP(Movies[[#This Row],[movie_id]:[movie_id]],Financials[[#All],[movie_id]:[movie_id]],Financials[[#All],[currency]],"Not Available",0)</f>
        <v>INR</v>
      </c>
      <c r="L35">
        <f>IF(Movies[[#This Row],[unit]]="Billions",Movies[[#This Row],[budget]]*1000,Movies[[#This Row],[budget]])</f>
        <v>250</v>
      </c>
      <c r="M35">
        <f>IF(Movies[[#This Row],[unit]]="Billions",Movies[[#This Row],[revenue]]*1000,Movies[[#This Row],[revenue]])</f>
        <v>3409</v>
      </c>
      <c r="N35">
        <f>IF(Movies[[#This Row],[currency]]="USD",Movies[[#This Row],[budget mln]]*80,Movies[[#This Row],[budget mln]])</f>
        <v>250</v>
      </c>
      <c r="O35">
        <f>IF(Movies[[#This Row],[currency]]="USD",Movies[[#This Row],[revenue(mln)]]*80,Movies[[#This Row],[revenue(mln)]])</f>
        <v>3409</v>
      </c>
      <c r="P35">
        <f>IF(Movies[[#This Row],[currency]]="INR",Movies[[#This Row],[budget mln]]/80,Movies[[#This Row],[budget mln]])</f>
        <v>3.125</v>
      </c>
      <c r="Q35" s="3">
        <f>IF(Movies[[#This Row],[currency]]="INR",Movies[[#This Row],[revenue(mln)]]/80,Movies[[#This Row],[revenue(mln)]])</f>
        <v>42.612499999999997</v>
      </c>
    </row>
    <row r="36" spans="1:17" x14ac:dyDescent="0.3">
      <c r="A36">
        <v>136</v>
      </c>
      <c r="B36" t="s">
        <v>151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 cm="1">
        <f t="array" ref="H36">_xlfn.XLOOKUP(Movies[[#This Row],[movie_id]:[movie_id]],Financials[[#All],[movie_id]:[movie_id]],Financials[[#All],[budget]],"Not Available",0)</f>
        <v>900</v>
      </c>
      <c r="I36" cm="1">
        <f t="array" ref="I36">_xlfn.XLOOKUP(Movies[[#This Row],[movie_id]:[movie_id]],Financials[[#All],[movie_id]:[movie_id]],Financials[[#All],[revenue]],"Not Available",0)</f>
        <v>11690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INR</v>
      </c>
      <c r="L36">
        <f>IF(Movies[[#This Row],[unit]]="Billions",Movies[[#This Row],[budget]]*1000,Movies[[#This Row],[budget]])</f>
        <v>900</v>
      </c>
      <c r="M36">
        <f>IF(Movies[[#This Row],[unit]]="Billions",Movies[[#This Row],[revenue]]*1000,Movies[[#This Row],[revenue]])</f>
        <v>11690</v>
      </c>
      <c r="N36">
        <f>IF(Movies[[#This Row],[currency]]="USD",Movies[[#This Row],[budget mln]]*80,Movies[[#This Row],[budget mln]])</f>
        <v>900</v>
      </c>
      <c r="O36">
        <f>IF(Movies[[#This Row],[currency]]="USD",Movies[[#This Row],[revenue(mln)]]*80,Movies[[#This Row],[revenue(mln)]])</f>
        <v>11690</v>
      </c>
      <c r="P36">
        <f>IF(Movies[[#This Row],[currency]]="INR",Movies[[#This Row],[budget mln]]/80,Movies[[#This Row],[budget mln]])</f>
        <v>11.25</v>
      </c>
      <c r="Q36" s="3">
        <f>IF(Movies[[#This Row],[currency]]="INR",Movies[[#This Row],[revenue(mln)]]/80,Movies[[#This Row],[revenue(mln)]])</f>
        <v>146.125</v>
      </c>
    </row>
    <row r="37" spans="1:17" x14ac:dyDescent="0.3">
      <c r="A37">
        <v>137</v>
      </c>
      <c r="B37" t="s">
        <v>152</v>
      </c>
      <c r="C37" t="s">
        <v>7</v>
      </c>
      <c r="D37">
        <v>2011</v>
      </c>
      <c r="E37">
        <v>6.9</v>
      </c>
      <c r="F37" t="s">
        <v>8</v>
      </c>
      <c r="G37">
        <v>5</v>
      </c>
      <c r="H37" cm="1">
        <f t="array" ref="H37">_xlfn.XLOOKUP(Movies[[#This Row],[movie_id]:[movie_id]],Financials[[#All],[movie_id]:[movie_id]],Financials[[#All],[budget]],"Not Available",0)</f>
        <v>216.7</v>
      </c>
      <c r="I37" cm="1">
        <f t="array" ref="I37">_xlfn.XLOOKUP(Movies[[#This Row],[movie_id]:[movie_id]],Financials[[#All],[movie_id]:[movie_id]],Financials[[#All],[revenue]],"Not Available",0)</f>
        <v>370.6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  <c r="L37">
        <f>IF(Movies[[#This Row],[unit]]="Billions",Movies[[#This Row],[budget]]*1000,Movies[[#This Row],[budget]])</f>
        <v>216.7</v>
      </c>
      <c r="M37">
        <f>IF(Movies[[#This Row],[unit]]="Billions",Movies[[#This Row],[revenue]]*1000,Movies[[#This Row],[revenue]])</f>
        <v>370.6</v>
      </c>
      <c r="N37">
        <f>IF(Movies[[#This Row],[currency]]="USD",Movies[[#This Row],[budget mln]]*80,Movies[[#This Row],[budget mln]])</f>
        <v>17336</v>
      </c>
      <c r="O37">
        <f>IF(Movies[[#This Row],[currency]]="USD",Movies[[#This Row],[revenue(mln)]]*80,Movies[[#This Row],[revenue(mln)]])</f>
        <v>29648</v>
      </c>
      <c r="P37">
        <f>IF(Movies[[#This Row],[currency]]="INR",Movies[[#This Row],[budget mln]]/80,Movies[[#This Row],[budget mln]])</f>
        <v>216.7</v>
      </c>
      <c r="Q37" s="3">
        <f>IF(Movies[[#This Row],[currency]]="INR",Movies[[#This Row],[revenue(mln)]]/80,Movies[[#This Row],[revenue(mln)]])</f>
        <v>370.6</v>
      </c>
    </row>
    <row r="38" spans="1:17" x14ac:dyDescent="0.3">
      <c r="A38">
        <v>138</v>
      </c>
      <c r="B38" t="s">
        <v>153</v>
      </c>
      <c r="C38" t="s">
        <v>7</v>
      </c>
      <c r="D38">
        <v>2014</v>
      </c>
      <c r="E38">
        <v>7.8</v>
      </c>
      <c r="F38" t="s">
        <v>8</v>
      </c>
      <c r="G38">
        <v>5</v>
      </c>
      <c r="H38" cm="1">
        <f t="array" ref="H38">_xlfn.XLOOKUP(Movies[[#This Row],[movie_id]:[movie_id]],Financials[[#All],[movie_id]:[movie_id]],Financials[[#All],[budget]],"Not Available",0)</f>
        <v>177</v>
      </c>
      <c r="I38" cm="1">
        <f t="array" ref="I38">_xlfn.XLOOKUP(Movies[[#This Row],[movie_id]:[movie_id]],Financials[[#All],[movie_id]:[movie_id]],Financials[[#All],[revenue]],"Not Available",0)</f>
        <v>714.4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  <c r="L38">
        <f>IF(Movies[[#This Row],[unit]]="Billions",Movies[[#This Row],[budget]]*1000,Movies[[#This Row],[budget]])</f>
        <v>177</v>
      </c>
      <c r="M38">
        <f>IF(Movies[[#This Row],[unit]]="Billions",Movies[[#This Row],[revenue]]*1000,Movies[[#This Row],[revenue]])</f>
        <v>714.4</v>
      </c>
      <c r="N38">
        <f>IF(Movies[[#This Row],[currency]]="USD",Movies[[#This Row],[budget mln]]*80,Movies[[#This Row],[budget mln]])</f>
        <v>14160</v>
      </c>
      <c r="O38">
        <f>IF(Movies[[#This Row],[currency]]="USD",Movies[[#This Row],[revenue(mln)]]*80,Movies[[#This Row],[revenue(mln)]])</f>
        <v>57152</v>
      </c>
      <c r="P38">
        <f>IF(Movies[[#This Row],[currency]]="INR",Movies[[#This Row],[budget mln]]/80,Movies[[#This Row],[budget mln]])</f>
        <v>177</v>
      </c>
      <c r="Q38" s="3">
        <f>IF(Movies[[#This Row],[currency]]="INR",Movies[[#This Row],[revenue(mln)]]/80,Movies[[#This Row],[revenue(mln)]])</f>
        <v>714.4</v>
      </c>
    </row>
    <row r="39" spans="1:17" x14ac:dyDescent="0.3">
      <c r="A39">
        <v>139</v>
      </c>
      <c r="B39" t="s">
        <v>154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 cm="1">
        <f t="array" ref="H39">_xlfn.XLOOKUP(Movies[[#This Row],[movie_id]:[movie_id]],Financials[[#All],[movie_id]:[movie_id]],Financials[[#All],[budget]],"Not Available",0)</f>
        <v>1.8</v>
      </c>
      <c r="I39" cm="1">
        <f t="array" ref="I39">_xlfn.XLOOKUP(Movies[[#This Row],[movie_id]:[movie_id]],Financials[[#All],[movie_id]:[movie_id]],Financials[[#All],[revenue]],"Not Available",0)</f>
        <v>3.1</v>
      </c>
      <c r="J39" t="str" cm="1">
        <f t="array" ref="J39">_xlfn.XLOOKUP(Movies[[#This Row],[movie_id]:[movie_id]],Financials[[#All],[movie_id]:[movie_id]],Financials[[#All],[unit]],"Not Available",0)</f>
        <v>Billions</v>
      </c>
      <c r="K39" t="str" cm="1">
        <f t="array" ref="K39">_xlfn.XLOOKUP(Movies[[#This Row],[movie_id]:[movie_id]],Financials[[#All],[movie_id]:[movie_id]],Financials[[#All],[currency]],"Not Available",0)</f>
        <v>INR</v>
      </c>
      <c r="L39">
        <f>IF(Movies[[#This Row],[unit]]="Billions",Movies[[#This Row],[budget]]*1000,Movies[[#This Row],[budget]])</f>
        <v>1800</v>
      </c>
      <c r="M39">
        <f>IF(Movies[[#This Row],[unit]]="Billions",Movies[[#This Row],[revenue]]*1000,Movies[[#This Row],[revenue]])</f>
        <v>3100</v>
      </c>
      <c r="N39">
        <f>IF(Movies[[#This Row],[currency]]="USD",Movies[[#This Row],[budget mln]]*80,Movies[[#This Row],[budget mln]])</f>
        <v>1800</v>
      </c>
      <c r="O39">
        <f>IF(Movies[[#This Row],[currency]]="USD",Movies[[#This Row],[revenue(mln)]]*80,Movies[[#This Row],[revenue(mln)]])</f>
        <v>3100</v>
      </c>
      <c r="P39">
        <f>IF(Movies[[#This Row],[currency]]="INR",Movies[[#This Row],[budget mln]]/80,Movies[[#This Row],[budget mln]])</f>
        <v>22.5</v>
      </c>
      <c r="Q39" s="3">
        <f>IF(Movies[[#This Row],[currency]]="INR",Movies[[#This Row],[revenue(mln)]]/80,Movies[[#This Row],[revenue(mln)]])</f>
        <v>38.75</v>
      </c>
    </row>
    <row r="40" spans="1:17" x14ac:dyDescent="0.3">
      <c r="A40">
        <v>140</v>
      </c>
      <c r="B40" t="s">
        <v>155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 cm="1">
        <f t="array" ref="H40">_xlfn.XLOOKUP(Movies[[#This Row],[movie_id]:[movie_id]],Financials[[#All],[movie_id]:[movie_id]],Financials[[#All],[budget]],"Not Available",0)</f>
        <v>500</v>
      </c>
      <c r="I40" cm="1">
        <f t="array" ref="I40">_xlfn.XLOOKUP(Movies[[#This Row],[movie_id]:[movie_id]],Financials[[#All],[movie_id]:[movie_id]],Financials[[#All],[revenue]],"Not Available",0)</f>
        <v>950</v>
      </c>
      <c r="J40" t="str" cm="1">
        <f t="array" ref="J40">_xlfn.XLOOKUP(Movies[[#This Row],[movie_id]:[movie_id]],Financials[[#All],[movie_id]:[movie_id]],Financials[[#All],[unit]],"Not Available",0)</f>
        <v>Millions</v>
      </c>
      <c r="K40" t="str" cm="1">
        <f t="array" ref="K40">_xlfn.XLOOKUP(Movies[[#This Row],[movie_id]:[movie_id]],Financials[[#All],[movie_id]:[movie_id]],Financials[[#All],[currency]],"Not Available",0)</f>
        <v>INR</v>
      </c>
      <c r="L40">
        <f>IF(Movies[[#This Row],[unit]]="Billions",Movies[[#This Row],[budget]]*1000,Movies[[#This Row],[budget]])</f>
        <v>500</v>
      </c>
      <c r="M40">
        <f>IF(Movies[[#This Row],[unit]]="Billions",Movies[[#This Row],[revenue]]*1000,Movies[[#This Row],[revenue]])</f>
        <v>950</v>
      </c>
      <c r="N40">
        <f>IF(Movies[[#This Row],[currency]]="USD",Movies[[#This Row],[budget mln]]*80,Movies[[#This Row],[budget mln]])</f>
        <v>500</v>
      </c>
      <c r="O40">
        <f>IF(Movies[[#This Row],[currency]]="USD",Movies[[#This Row],[revenue(mln)]]*80,Movies[[#This Row],[revenue(mln)]])</f>
        <v>950</v>
      </c>
      <c r="P40">
        <f>IF(Movies[[#This Row],[currency]]="INR",Movies[[#This Row],[budget mln]]/80,Movies[[#This Row],[budget mln]])</f>
        <v>6.25</v>
      </c>
      <c r="Q40" s="3">
        <f>IF(Movies[[#This Row],[currency]]="INR",Movies[[#This Row],[revenue(mln)]]/80,Movies[[#This Row],[revenue(mln)]])</f>
        <v>11.875</v>
      </c>
    </row>
    <row r="42" spans="1:17" x14ac:dyDescent="0.3">
      <c r="B42" s="9" t="s">
        <v>167</v>
      </c>
      <c r="C42" s="9">
        <f>COUNT(Movies[movie_id])</f>
        <v>39</v>
      </c>
      <c r="N42" t="s">
        <v>165</v>
      </c>
      <c r="O42" t="s">
        <v>166</v>
      </c>
    </row>
    <row r="43" spans="1:17" x14ac:dyDescent="0.3">
      <c r="B43" s="9" t="s">
        <v>168</v>
      </c>
      <c r="C43" s="9">
        <f>COUNTIF(Movies[industry],"Bollywood")</f>
        <v>18</v>
      </c>
      <c r="L43" s="4" t="s">
        <v>163</v>
      </c>
      <c r="M43" s="4"/>
      <c r="N43" s="5">
        <f>SUM(Movies[Budget INR])</f>
        <v>264196.40000000002</v>
      </c>
      <c r="O43" s="6">
        <f>SUM(Movies[[#All],[revenue INR]])</f>
        <v>1567141</v>
      </c>
    </row>
    <row r="44" spans="1:17" x14ac:dyDescent="0.3">
      <c r="B44" s="9" t="s">
        <v>169</v>
      </c>
      <c r="C44" s="10">
        <f>C43/C42</f>
        <v>0.46153846153846156</v>
      </c>
    </row>
    <row r="45" spans="1:17" x14ac:dyDescent="0.3">
      <c r="B45" s="9" t="s">
        <v>170</v>
      </c>
      <c r="C45" s="9">
        <f>SUMIF(Movies[industry],"Bollywood",Movies[Budget INR])</f>
        <v>18630</v>
      </c>
      <c r="L45" s="7" t="s">
        <v>164</v>
      </c>
      <c r="M45" s="7"/>
      <c r="N45" s="7">
        <f>SUM(Movies[[#All],[budget USD]])</f>
        <v>3302.4549999999999</v>
      </c>
      <c r="O45" s="7">
        <f>SUM(Movies[[#All],[revenue USD]])</f>
        <v>19589.262500000001</v>
      </c>
    </row>
    <row r="46" spans="1:17" x14ac:dyDescent="0.3">
      <c r="B46" s="9" t="s">
        <v>171</v>
      </c>
      <c r="C46" s="9">
        <f>SUMIF(Movies[industry],"Bollywood",Movies[revenue INR])</f>
        <v>80909</v>
      </c>
    </row>
    <row r="47" spans="1:17" x14ac:dyDescent="0.3">
      <c r="B47" s="2" t="s">
        <v>172</v>
      </c>
      <c r="C47" s="2">
        <f>SUMIF(Movies[industry],"Hollywood",Movies[revenue USD])</f>
        <v>18577.900000000001</v>
      </c>
    </row>
    <row r="48" spans="1:17" x14ac:dyDescent="0.3">
      <c r="B48" s="2" t="s">
        <v>173</v>
      </c>
      <c r="C48" s="2">
        <f>AVERAGE(C47/C49)</f>
        <v>884.66190476190479</v>
      </c>
    </row>
    <row r="49" spans="2:3" x14ac:dyDescent="0.3">
      <c r="B49" s="2" t="s">
        <v>174</v>
      </c>
      <c r="C49" s="2">
        <f>COUNTIF(Movies[industry],"Hollywood")</f>
        <v>21</v>
      </c>
    </row>
  </sheetData>
  <conditionalFormatting sqref="A1:B1">
    <cfRule type="duplicateValues" dxfId="3" priority="5"/>
    <cfRule type="duplicateValues" dxfId="2" priority="6"/>
  </conditionalFormatting>
  <conditionalFormatting sqref="A2:B40">
    <cfRule type="duplicateValues" dxfId="1" priority="9"/>
    <cfRule type="duplicateValues" dxfId="0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="160" zoomScaleNormal="160" workbookViewId="0">
      <selection activeCell="B26" sqref="B26"/>
    </sheetView>
  </sheetViews>
  <sheetFormatPr defaultRowHeight="14.4" x14ac:dyDescent="0.3"/>
  <cols>
    <col min="1" max="1" width="9.44140625" customWidth="1"/>
    <col min="5" max="5" width="30.33203125" customWidth="1"/>
  </cols>
  <sheetData>
    <row r="1" spans="1:5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A2" sqref="A2:B3"/>
    </sheetView>
  </sheetViews>
  <sheetFormatPr defaultRowHeight="14.4" x14ac:dyDescent="0.3"/>
  <cols>
    <col min="2" max="2" width="26.44140625" customWidth="1"/>
    <col min="3" max="3" width="10.88671875" customWidth="1"/>
    <col min="5" max="5" width="22.109375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>
        <v>50</v>
      </c>
      <c r="B2" t="s">
        <v>38</v>
      </c>
      <c r="C2">
        <v>1986</v>
      </c>
    </row>
    <row r="3" spans="1:3" x14ac:dyDescent="0.3">
      <c r="A3">
        <v>51</v>
      </c>
      <c r="B3" t="s">
        <v>39</v>
      </c>
      <c r="C3">
        <v>1959</v>
      </c>
    </row>
    <row r="4" spans="1:3" x14ac:dyDescent="0.3">
      <c r="A4">
        <v>52</v>
      </c>
      <c r="B4" t="s">
        <v>40</v>
      </c>
      <c r="C4">
        <v>1976</v>
      </c>
    </row>
    <row r="5" spans="1:3" x14ac:dyDescent="0.3">
      <c r="A5">
        <v>53</v>
      </c>
      <c r="B5" t="s">
        <v>41</v>
      </c>
      <c r="C5">
        <v>1989</v>
      </c>
    </row>
    <row r="6" spans="1:3" x14ac:dyDescent="0.3">
      <c r="A6">
        <v>54</v>
      </c>
      <c r="B6" t="s">
        <v>42</v>
      </c>
      <c r="C6">
        <v>1983</v>
      </c>
    </row>
    <row r="7" spans="1:3" x14ac:dyDescent="0.3">
      <c r="A7">
        <v>55</v>
      </c>
      <c r="B7" t="s">
        <v>43</v>
      </c>
      <c r="C7">
        <v>1981</v>
      </c>
    </row>
    <row r="8" spans="1:3" x14ac:dyDescent="0.3">
      <c r="A8">
        <v>56</v>
      </c>
      <c r="B8" t="s">
        <v>44</v>
      </c>
      <c r="C8">
        <v>1981</v>
      </c>
    </row>
    <row r="9" spans="1:3" x14ac:dyDescent="0.3">
      <c r="A9">
        <v>57</v>
      </c>
      <c r="B9" t="s">
        <v>45</v>
      </c>
      <c r="C9">
        <v>1942</v>
      </c>
    </row>
    <row r="10" spans="1:3" x14ac:dyDescent="0.3">
      <c r="A10">
        <v>58</v>
      </c>
      <c r="B10" t="s">
        <v>46</v>
      </c>
      <c r="C10">
        <v>1948</v>
      </c>
    </row>
    <row r="11" spans="1:3" x14ac:dyDescent="0.3">
      <c r="A11">
        <v>59</v>
      </c>
      <c r="B11" t="s">
        <v>47</v>
      </c>
      <c r="C11">
        <v>1965</v>
      </c>
    </row>
    <row r="12" spans="1:3" x14ac:dyDescent="0.3">
      <c r="A12">
        <v>60</v>
      </c>
      <c r="B12" t="s">
        <v>48</v>
      </c>
      <c r="C12">
        <v>1974</v>
      </c>
    </row>
    <row r="13" spans="1:3" x14ac:dyDescent="0.3">
      <c r="A13">
        <v>61</v>
      </c>
      <c r="B13" t="s">
        <v>49</v>
      </c>
      <c r="C13">
        <v>1965</v>
      </c>
    </row>
    <row r="14" spans="1:3" x14ac:dyDescent="0.3">
      <c r="A14">
        <v>62</v>
      </c>
      <c r="B14" t="s">
        <v>50</v>
      </c>
      <c r="C14">
        <v>1970</v>
      </c>
    </row>
    <row r="15" spans="1:3" x14ac:dyDescent="0.3">
      <c r="A15">
        <v>63</v>
      </c>
      <c r="B15" t="s">
        <v>51</v>
      </c>
      <c r="C15">
        <v>1979</v>
      </c>
    </row>
    <row r="16" spans="1:3" x14ac:dyDescent="0.3">
      <c r="A16">
        <v>64</v>
      </c>
      <c r="B16" t="s">
        <v>52</v>
      </c>
      <c r="C16">
        <v>1974</v>
      </c>
    </row>
    <row r="17" spans="1:3" x14ac:dyDescent="0.3">
      <c r="A17">
        <v>65</v>
      </c>
      <c r="B17" t="s">
        <v>53</v>
      </c>
      <c r="C17">
        <v>1985</v>
      </c>
    </row>
    <row r="18" spans="1:3" x14ac:dyDescent="0.3">
      <c r="A18">
        <v>66</v>
      </c>
      <c r="B18" t="s">
        <v>54</v>
      </c>
      <c r="C18">
        <v>1986</v>
      </c>
    </row>
    <row r="19" spans="1:3" x14ac:dyDescent="0.3">
      <c r="A19">
        <v>67</v>
      </c>
      <c r="B19" t="s">
        <v>55</v>
      </c>
      <c r="C19">
        <v>1958</v>
      </c>
    </row>
    <row r="20" spans="1:3" x14ac:dyDescent="0.3">
      <c r="A20">
        <v>68</v>
      </c>
      <c r="B20" t="s">
        <v>56</v>
      </c>
      <c r="C20">
        <v>1937</v>
      </c>
    </row>
    <row r="21" spans="1:3" x14ac:dyDescent="0.3">
      <c r="A21">
        <v>69</v>
      </c>
      <c r="B21" t="s">
        <v>57</v>
      </c>
      <c r="C21">
        <v>1974</v>
      </c>
    </row>
    <row r="22" spans="1:3" x14ac:dyDescent="0.3">
      <c r="A22">
        <v>70</v>
      </c>
      <c r="B22" t="s">
        <v>58</v>
      </c>
      <c r="C22">
        <v>1959</v>
      </c>
    </row>
    <row r="23" spans="1:3" x14ac:dyDescent="0.3">
      <c r="A23">
        <v>71</v>
      </c>
      <c r="B23" t="s">
        <v>59</v>
      </c>
      <c r="C23">
        <v>1969</v>
      </c>
    </row>
    <row r="24" spans="1:3" x14ac:dyDescent="0.3">
      <c r="A24">
        <v>72</v>
      </c>
      <c r="B24" t="s">
        <v>60</v>
      </c>
      <c r="C24">
        <v>1982</v>
      </c>
    </row>
    <row r="25" spans="1:3" x14ac:dyDescent="0.3">
      <c r="A25">
        <v>73</v>
      </c>
      <c r="B25" t="s">
        <v>61</v>
      </c>
      <c r="C25">
        <v>1984</v>
      </c>
    </row>
    <row r="26" spans="1:3" x14ac:dyDescent="0.3">
      <c r="A26">
        <v>74</v>
      </c>
      <c r="B26" t="s">
        <v>62</v>
      </c>
      <c r="C26">
        <v>1986</v>
      </c>
    </row>
    <row r="27" spans="1:3" x14ac:dyDescent="0.3">
      <c r="A27">
        <v>75</v>
      </c>
      <c r="B27" t="s">
        <v>63</v>
      </c>
      <c r="C27">
        <v>1968</v>
      </c>
    </row>
    <row r="28" spans="1:3" x14ac:dyDescent="0.3">
      <c r="A28">
        <v>76</v>
      </c>
      <c r="B28" t="s">
        <v>64</v>
      </c>
      <c r="C28">
        <v>1972</v>
      </c>
    </row>
    <row r="29" spans="1:3" x14ac:dyDescent="0.3">
      <c r="A29">
        <v>77</v>
      </c>
      <c r="B29" t="s">
        <v>65</v>
      </c>
      <c r="C29">
        <v>1964</v>
      </c>
    </row>
    <row r="30" spans="1:3" x14ac:dyDescent="0.3">
      <c r="A30">
        <v>78</v>
      </c>
      <c r="B30" t="s">
        <v>66</v>
      </c>
      <c r="C30">
        <v>1974</v>
      </c>
    </row>
    <row r="31" spans="1:3" x14ac:dyDescent="0.3">
      <c r="A31">
        <v>79</v>
      </c>
      <c r="B31" t="s">
        <v>67</v>
      </c>
      <c r="C31">
        <v>1975</v>
      </c>
    </row>
    <row r="32" spans="1:3" x14ac:dyDescent="0.3">
      <c r="A32">
        <v>80</v>
      </c>
      <c r="B32" t="s">
        <v>68</v>
      </c>
      <c r="C32">
        <v>1908</v>
      </c>
    </row>
    <row r="33" spans="1:3" x14ac:dyDescent="0.3">
      <c r="A33">
        <v>81</v>
      </c>
      <c r="B33" t="s">
        <v>69</v>
      </c>
      <c r="C33">
        <v>1921</v>
      </c>
    </row>
    <row r="34" spans="1:3" x14ac:dyDescent="0.3">
      <c r="A34">
        <v>82</v>
      </c>
      <c r="B34" t="s">
        <v>70</v>
      </c>
      <c r="C34">
        <v>1976</v>
      </c>
    </row>
    <row r="35" spans="1:3" x14ac:dyDescent="0.3">
      <c r="A35">
        <v>83</v>
      </c>
      <c r="B35" t="s">
        <v>71</v>
      </c>
      <c r="C35">
        <v>1978</v>
      </c>
    </row>
    <row r="36" spans="1:3" x14ac:dyDescent="0.3">
      <c r="A36">
        <v>84</v>
      </c>
      <c r="B36" t="s">
        <v>72</v>
      </c>
      <c r="C36">
        <v>1924</v>
      </c>
    </row>
    <row r="37" spans="1:3" x14ac:dyDescent="0.3">
      <c r="A37">
        <v>85</v>
      </c>
      <c r="B37" t="s">
        <v>73</v>
      </c>
      <c r="C37">
        <v>1940</v>
      </c>
    </row>
    <row r="38" spans="1:3" x14ac:dyDescent="0.3">
      <c r="A38">
        <v>86</v>
      </c>
      <c r="B38" t="s">
        <v>74</v>
      </c>
      <c r="C38">
        <v>1974</v>
      </c>
    </row>
    <row r="39" spans="1:3" x14ac:dyDescent="0.3">
      <c r="A39">
        <v>87</v>
      </c>
      <c r="B39" t="s">
        <v>75</v>
      </c>
      <c r="C39">
        <v>1979</v>
      </c>
    </row>
    <row r="40" spans="1:3" x14ac:dyDescent="0.3">
      <c r="A40">
        <v>88</v>
      </c>
      <c r="B40" t="s">
        <v>76</v>
      </c>
      <c r="C40">
        <v>1952</v>
      </c>
    </row>
    <row r="41" spans="1:3" x14ac:dyDescent="0.3">
      <c r="A41">
        <v>89</v>
      </c>
      <c r="B41" t="s">
        <v>77</v>
      </c>
      <c r="C41">
        <v>1943</v>
      </c>
    </row>
    <row r="42" spans="1:3" x14ac:dyDescent="0.3">
      <c r="A42">
        <v>90</v>
      </c>
      <c r="B42" t="s">
        <v>78</v>
      </c>
      <c r="C42">
        <v>1947</v>
      </c>
    </row>
    <row r="43" spans="1:3" x14ac:dyDescent="0.3">
      <c r="A43">
        <v>91</v>
      </c>
      <c r="B43" t="s">
        <v>79</v>
      </c>
      <c r="C43">
        <v>1967</v>
      </c>
    </row>
    <row r="44" spans="1:3" x14ac:dyDescent="0.3">
      <c r="A44">
        <v>92</v>
      </c>
      <c r="B44" t="s">
        <v>80</v>
      </c>
      <c r="C44">
        <v>1967</v>
      </c>
    </row>
    <row r="45" spans="1:3" x14ac:dyDescent="0.3">
      <c r="A45">
        <v>93</v>
      </c>
      <c r="B45" t="s">
        <v>81</v>
      </c>
      <c r="C45">
        <v>1975</v>
      </c>
    </row>
    <row r="46" spans="1:3" x14ac:dyDescent="0.3">
      <c r="A46">
        <v>94</v>
      </c>
      <c r="B46" t="s">
        <v>82</v>
      </c>
      <c r="C46">
        <v>1965</v>
      </c>
    </row>
    <row r="47" spans="1:3" x14ac:dyDescent="0.3">
      <c r="A47">
        <v>95</v>
      </c>
      <c r="B47" t="s">
        <v>83</v>
      </c>
      <c r="C47">
        <v>1981</v>
      </c>
    </row>
    <row r="48" spans="1:3" x14ac:dyDescent="0.3">
      <c r="A48">
        <v>150</v>
      </c>
      <c r="B48" t="s">
        <v>84</v>
      </c>
      <c r="C48">
        <v>1905</v>
      </c>
    </row>
    <row r="49" spans="1:3" x14ac:dyDescent="0.3">
      <c r="A49">
        <v>151</v>
      </c>
      <c r="B49" t="s">
        <v>85</v>
      </c>
      <c r="C49">
        <v>1919</v>
      </c>
    </row>
    <row r="50" spans="1:3" x14ac:dyDescent="0.3">
      <c r="A50">
        <v>152</v>
      </c>
      <c r="B50" t="s">
        <v>86</v>
      </c>
      <c r="C50">
        <v>1997</v>
      </c>
    </row>
    <row r="51" spans="1:3" x14ac:dyDescent="0.3">
      <c r="A51">
        <v>153</v>
      </c>
      <c r="B51" t="s">
        <v>87</v>
      </c>
      <c r="C51">
        <v>1929</v>
      </c>
    </row>
    <row r="52" spans="1:3" x14ac:dyDescent="0.3">
      <c r="A52">
        <v>154</v>
      </c>
      <c r="B52" t="s">
        <v>88</v>
      </c>
      <c r="C52">
        <v>1988</v>
      </c>
    </row>
    <row r="53" spans="1:3" x14ac:dyDescent="0.3">
      <c r="A53">
        <v>155</v>
      </c>
      <c r="B53" t="s">
        <v>89</v>
      </c>
      <c r="C53">
        <v>1982</v>
      </c>
    </row>
    <row r="54" spans="1:3" x14ac:dyDescent="0.3">
      <c r="A54">
        <v>156</v>
      </c>
      <c r="B54" t="s">
        <v>90</v>
      </c>
      <c r="C54">
        <v>1982</v>
      </c>
    </row>
    <row r="55" spans="1:3" x14ac:dyDescent="0.3">
      <c r="A55">
        <v>157</v>
      </c>
      <c r="B55" t="s">
        <v>91</v>
      </c>
      <c r="C55">
        <v>1982</v>
      </c>
    </row>
    <row r="56" spans="1:3" x14ac:dyDescent="0.3">
      <c r="A56">
        <v>158</v>
      </c>
      <c r="B56" t="s">
        <v>92</v>
      </c>
      <c r="C56">
        <v>1983</v>
      </c>
    </row>
    <row r="57" spans="1:3" x14ac:dyDescent="0.3">
      <c r="A57">
        <v>159</v>
      </c>
      <c r="B57" t="s">
        <v>93</v>
      </c>
      <c r="C57">
        <v>1985</v>
      </c>
    </row>
    <row r="58" spans="1:3" x14ac:dyDescent="0.3">
      <c r="A58">
        <v>160</v>
      </c>
      <c r="B58" t="s">
        <v>94</v>
      </c>
      <c r="C58">
        <v>1979</v>
      </c>
    </row>
    <row r="59" spans="1:3" x14ac:dyDescent="0.3">
      <c r="A59">
        <v>161</v>
      </c>
      <c r="B59" t="s">
        <v>95</v>
      </c>
      <c r="C59">
        <v>1984</v>
      </c>
    </row>
    <row r="60" spans="1:3" x14ac:dyDescent="0.3">
      <c r="A60">
        <v>162</v>
      </c>
      <c r="B60" t="s">
        <v>96</v>
      </c>
      <c r="C60">
        <v>1950</v>
      </c>
    </row>
    <row r="61" spans="1:3" x14ac:dyDescent="0.3">
      <c r="A61">
        <v>163</v>
      </c>
      <c r="B61" t="s">
        <v>97</v>
      </c>
      <c r="C61">
        <v>1955</v>
      </c>
    </row>
    <row r="62" spans="1:3" x14ac:dyDescent="0.3">
      <c r="A62">
        <v>164</v>
      </c>
      <c r="B62" t="s">
        <v>98</v>
      </c>
      <c r="C62">
        <v>1965</v>
      </c>
    </row>
    <row r="63" spans="1:3" x14ac:dyDescent="0.3">
      <c r="A63">
        <v>165</v>
      </c>
      <c r="B63" t="s">
        <v>99</v>
      </c>
      <c r="C63">
        <v>1967</v>
      </c>
    </row>
    <row r="64" spans="1:3" x14ac:dyDescent="0.3">
      <c r="A64">
        <v>166</v>
      </c>
      <c r="B64" t="s">
        <v>100</v>
      </c>
      <c r="C64">
        <v>1946</v>
      </c>
    </row>
    <row r="65" spans="1:3" x14ac:dyDescent="0.3">
      <c r="A65">
        <v>167</v>
      </c>
      <c r="B65" t="s">
        <v>101</v>
      </c>
      <c r="C65">
        <v>1982</v>
      </c>
    </row>
    <row r="66" spans="1:3" x14ac:dyDescent="0.3">
      <c r="A66">
        <v>168</v>
      </c>
      <c r="B66" t="s">
        <v>102</v>
      </c>
      <c r="C66">
        <v>1956</v>
      </c>
    </row>
    <row r="67" spans="1:3" x14ac:dyDescent="0.3">
      <c r="A67">
        <v>169</v>
      </c>
      <c r="B67" t="s">
        <v>103</v>
      </c>
      <c r="C67">
        <v>1985</v>
      </c>
    </row>
    <row r="68" spans="1:3" x14ac:dyDescent="0.3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2" sqref="B2:B3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35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B4" sqref="B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36</v>
      </c>
    </row>
    <row r="2" spans="1:2" x14ac:dyDescent="0.3">
      <c r="A2">
        <v>1</v>
      </c>
      <c r="B2" t="s">
        <v>105</v>
      </c>
    </row>
    <row r="3" spans="1:2" x14ac:dyDescent="0.3">
      <c r="A3">
        <v>2</v>
      </c>
      <c r="B3" t="s">
        <v>106</v>
      </c>
    </row>
    <row r="4" spans="1:2" x14ac:dyDescent="0.3">
      <c r="A4">
        <v>3</v>
      </c>
      <c r="B4" t="s">
        <v>107</v>
      </c>
    </row>
    <row r="5" spans="1:2" x14ac:dyDescent="0.3">
      <c r="A5">
        <v>4</v>
      </c>
      <c r="B5" t="s">
        <v>108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74B2-6C74-480D-B3AB-43E6B18BBD09}">
  <dimension ref="B2:C6"/>
  <sheetViews>
    <sheetView tabSelected="1" workbookViewId="0">
      <selection activeCell="C7" sqref="C7"/>
    </sheetView>
  </sheetViews>
  <sheetFormatPr defaultRowHeight="14.4" x14ac:dyDescent="0.3"/>
  <cols>
    <col min="2" max="2" width="17.88671875" customWidth="1"/>
  </cols>
  <sheetData>
    <row r="2" spans="2:3" x14ac:dyDescent="0.3">
      <c r="B2" t="s">
        <v>175</v>
      </c>
      <c r="C2" t="s">
        <v>176</v>
      </c>
    </row>
    <row r="3" spans="2:3" x14ac:dyDescent="0.3">
      <c r="B3" t="s">
        <v>177</v>
      </c>
      <c r="C3">
        <f>SUMIF(Movies[studio],"Marvel Studios",Movies[revenue USD])</f>
        <v>9054.6</v>
      </c>
    </row>
    <row r="4" spans="2:3" x14ac:dyDescent="0.3">
      <c r="B4" t="s">
        <v>178</v>
      </c>
      <c r="C4">
        <f>SUMIF(Movies[studio],"Marvel Studios",Movies[budget])</f>
        <v>1988.7</v>
      </c>
    </row>
    <row r="5" spans="2:3" x14ac:dyDescent="0.3">
      <c r="B5" t="s">
        <v>179</v>
      </c>
      <c r="C5">
        <f>C3-C4</f>
        <v>7065.9000000000005</v>
      </c>
    </row>
    <row r="6" spans="2:3" x14ac:dyDescent="0.3">
      <c r="B6" t="s">
        <v>179</v>
      </c>
      <c r="C6" s="8">
        <f>C5/C4</f>
        <v>3.5530245889274403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2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financials</vt:lpstr>
      <vt:lpstr>actors</vt:lpstr>
      <vt:lpstr>movie_actor</vt:lpstr>
      <vt:lpstr>languages</vt:lpstr>
      <vt:lpstr>Marvel 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Shifa Siddiqui</cp:lastModifiedBy>
  <dcterms:created xsi:type="dcterms:W3CDTF">2015-06-05T18:17:20Z</dcterms:created>
  <dcterms:modified xsi:type="dcterms:W3CDTF">2025-12-07T03:34:17Z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