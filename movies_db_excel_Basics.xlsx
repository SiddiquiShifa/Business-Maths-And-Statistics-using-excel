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ultan\Documents\GitHub\Business-Maths-And-Statistics-using-excel\"/>
    </mc:Choice>
  </mc:AlternateContent>
  <xr:revisionPtr revIDLastSave="0" documentId="13_ncr:1_{A9789FDE-291F-4B68-AEF5-8C22BFA72A22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movies" sheetId="1" r:id="rId1"/>
    <sheet name="financials" sheetId="2" r:id="rId2"/>
    <sheet name="actors" sheetId="3" r:id="rId3"/>
    <sheet name="movie_actor" sheetId="4" r:id="rId4"/>
    <sheet name="languages" sheetId="5" r:id="rId5"/>
    <sheet name="Marvel Financials" sheetId="6" r:id="rId6"/>
    <sheet name="Stats" sheetId="7" r:id="rId7"/>
  </sheets>
  <definedNames>
    <definedName name="juganda_mean_income">Stats!$C$21</definedName>
    <definedName name="Krance_Mena">Stats!$I$21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" l="1"/>
  <c r="J14" i="7"/>
  <c r="J15" i="7"/>
  <c r="J16" i="7"/>
  <c r="J17" i="7"/>
  <c r="J18" i="7"/>
  <c r="J19" i="7"/>
  <c r="J12" i="7"/>
  <c r="I21" i="7"/>
  <c r="D12" i="7"/>
  <c r="C21" i="7"/>
  <c r="C6" i="7"/>
  <c r="C5" i="7"/>
  <c r="C4" i="7"/>
  <c r="F4" i="6"/>
  <c r="F5" i="6"/>
  <c r="F6" i="6"/>
  <c r="F7" i="6"/>
  <c r="F3" i="6"/>
  <c r="E4" i="6"/>
  <c r="E5" i="6"/>
  <c r="E6" i="6"/>
  <c r="E7" i="6"/>
  <c r="E3" i="6"/>
  <c r="D6" i="6"/>
  <c r="C7" i="6"/>
  <c r="C6" i="6"/>
  <c r="C5" i="6"/>
  <c r="C3" i="6"/>
  <c r="C4" i="6"/>
  <c r="C48" i="1"/>
  <c r="C49" i="1"/>
  <c r="C44" i="1"/>
  <c r="C47" i="1"/>
  <c r="C45" i="1"/>
  <c r="C46" i="1"/>
  <c r="C43" i="1"/>
  <c r="C42" i="1"/>
  <c r="J29" i="1" a="1"/>
  <c r="J29" i="1" s="1"/>
  <c r="K3" i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K26" i="1" a="1"/>
  <c r="K26" i="1" s="1"/>
  <c r="K27" i="1" a="1"/>
  <c r="K27" i="1" s="1"/>
  <c r="K28" i="1" a="1"/>
  <c r="K28" i="1" s="1"/>
  <c r="K29" i="1" a="1"/>
  <c r="K29" i="1" s="1"/>
  <c r="K30" i="1" a="1"/>
  <c r="K30" i="1" s="1"/>
  <c r="K31" i="1" a="1"/>
  <c r="K31" i="1" s="1"/>
  <c r="K32" i="1" a="1"/>
  <c r="K32" i="1" s="1"/>
  <c r="K33" i="1" a="1"/>
  <c r="K33" i="1" s="1"/>
  <c r="K34" i="1" a="1"/>
  <c r="K34" i="1" s="1"/>
  <c r="K35" i="1" a="1"/>
  <c r="K35" i="1" s="1"/>
  <c r="K36" i="1" a="1"/>
  <c r="K36" i="1" s="1"/>
  <c r="K37" i="1" a="1"/>
  <c r="K37" i="1" s="1"/>
  <c r="K38" i="1" a="1"/>
  <c r="K38" i="1" s="1"/>
  <c r="K39" i="1" a="1"/>
  <c r="K39" i="1" s="1"/>
  <c r="K40" i="1" a="1"/>
  <c r="K40" i="1" s="1"/>
  <c r="J3" i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K2" i="1" a="1"/>
  <c r="K2" i="1" s="1"/>
  <c r="J2" i="1" a="1"/>
  <c r="J2" i="1" s="1"/>
  <c r="I2" i="1" a="1"/>
  <c r="I2" i="1" s="1"/>
  <c r="H2" i="1" a="1"/>
  <c r="H2" i="1" s="1"/>
  <c r="H3" i="1" a="1"/>
  <c r="H3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33" i="1" a="1"/>
  <c r="H33" i="1" s="1"/>
  <c r="H34" i="1" a="1"/>
  <c r="H34" i="1" s="1"/>
  <c r="H35" i="1" a="1"/>
  <c r="H35" i="1" s="1"/>
  <c r="H36" i="1" a="1"/>
  <c r="H36" i="1" s="1"/>
  <c r="H37" i="1" a="1"/>
  <c r="H37" i="1" s="1"/>
  <c r="H38" i="1" a="1"/>
  <c r="H38" i="1" s="1"/>
  <c r="H39" i="1" a="1"/>
  <c r="H39" i="1" s="1"/>
  <c r="H40" i="1" a="1"/>
  <c r="H40" i="1" s="1"/>
  <c r="E12" i="7" l="1"/>
  <c r="D19" i="7"/>
  <c r="E19" i="7" s="1"/>
  <c r="D18" i="7"/>
  <c r="E18" i="7" s="1"/>
  <c r="D16" i="7"/>
  <c r="E16" i="7" s="1"/>
  <c r="D15" i="7"/>
  <c r="E15" i="7" s="1"/>
  <c r="D14" i="7"/>
  <c r="E14" i="7" s="1"/>
  <c r="D17" i="7"/>
  <c r="E17" i="7" s="1"/>
  <c r="D13" i="7"/>
  <c r="E13" i="7" s="1"/>
  <c r="Q15" i="1"/>
  <c r="M39" i="1"/>
  <c r="O39" i="1" s="1"/>
  <c r="M35" i="1"/>
  <c r="O35" i="1" s="1"/>
  <c r="M31" i="1"/>
  <c r="O31" i="1" s="1"/>
  <c r="M38" i="1"/>
  <c r="O38" i="1" s="1"/>
  <c r="M34" i="1"/>
  <c r="O34" i="1" s="1"/>
  <c r="M30" i="1"/>
  <c r="O30" i="1" s="1"/>
  <c r="M25" i="1"/>
  <c r="M21" i="1"/>
  <c r="L17" i="1"/>
  <c r="M13" i="1"/>
  <c r="M9" i="1"/>
  <c r="M5" i="1"/>
  <c r="M17" i="1"/>
  <c r="L13" i="1"/>
  <c r="L37" i="1"/>
  <c r="L33" i="1"/>
  <c r="M28" i="1"/>
  <c r="M24" i="1"/>
  <c r="M20" i="1"/>
  <c r="M16" i="1"/>
  <c r="M12" i="1"/>
  <c r="M8" i="1"/>
  <c r="M4" i="1"/>
  <c r="M29" i="1"/>
  <c r="M40" i="1"/>
  <c r="M36" i="1"/>
  <c r="M32" i="1"/>
  <c r="M37" i="1"/>
  <c r="L2" i="1"/>
  <c r="N2" i="1" s="1"/>
  <c r="L27" i="1"/>
  <c r="L23" i="1"/>
  <c r="L19" i="1"/>
  <c r="L15" i="1"/>
  <c r="L11" i="1"/>
  <c r="L7" i="1"/>
  <c r="L3" i="1"/>
  <c r="M33" i="1"/>
  <c r="L26" i="1"/>
  <c r="N26" i="1" s="1"/>
  <c r="L22" i="1"/>
  <c r="N22" i="1" s="1"/>
  <c r="L18" i="1"/>
  <c r="N18" i="1" s="1"/>
  <c r="L14" i="1"/>
  <c r="N14" i="1" s="1"/>
  <c r="L10" i="1"/>
  <c r="N10" i="1" s="1"/>
  <c r="L6" i="1"/>
  <c r="N6" i="1" s="1"/>
  <c r="M27" i="1"/>
  <c r="O27" i="1" s="1"/>
  <c r="M23" i="1"/>
  <c r="O23" i="1" s="1"/>
  <c r="M19" i="1"/>
  <c r="O19" i="1" s="1"/>
  <c r="M15" i="1"/>
  <c r="O15" i="1" s="1"/>
  <c r="M11" i="1"/>
  <c r="O11" i="1" s="1"/>
  <c r="M7" i="1"/>
  <c r="O7" i="1" s="1"/>
  <c r="M3" i="1"/>
  <c r="O3" i="1" s="1"/>
  <c r="L25" i="1"/>
  <c r="L21" i="1"/>
  <c r="L9" i="1"/>
  <c r="L5" i="1"/>
  <c r="M26" i="1"/>
  <c r="O26" i="1" s="1"/>
  <c r="M22" i="1"/>
  <c r="O22" i="1" s="1"/>
  <c r="M18" i="1"/>
  <c r="O18" i="1" s="1"/>
  <c r="M14" i="1"/>
  <c r="O14" i="1" s="1"/>
  <c r="M10" i="1"/>
  <c r="O10" i="1" s="1"/>
  <c r="M6" i="1"/>
  <c r="O6" i="1" s="1"/>
  <c r="M2" i="1"/>
  <c r="O2" i="1" s="1"/>
  <c r="L36" i="1"/>
  <c r="L39" i="1"/>
  <c r="L31" i="1"/>
  <c r="L38" i="1"/>
  <c r="N38" i="1" s="1"/>
  <c r="L34" i="1"/>
  <c r="N34" i="1" s="1"/>
  <c r="L30" i="1"/>
  <c r="N30" i="1" s="1"/>
  <c r="L40" i="1"/>
  <c r="L32" i="1"/>
  <c r="L35" i="1"/>
  <c r="L28" i="1"/>
  <c r="L24" i="1"/>
  <c r="L20" i="1"/>
  <c r="L16" i="1"/>
  <c r="L12" i="1"/>
  <c r="L8" i="1"/>
  <c r="L4" i="1"/>
  <c r="L29" i="1"/>
  <c r="E20" i="7" l="1"/>
  <c r="E23" i="7"/>
  <c r="Q35" i="1"/>
  <c r="Q19" i="1"/>
  <c r="Q39" i="1"/>
  <c r="Q3" i="1"/>
  <c r="Q23" i="1"/>
  <c r="Q7" i="1"/>
  <c r="Q31" i="1"/>
  <c r="O37" i="1"/>
  <c r="Q37" i="1"/>
  <c r="O29" i="1"/>
  <c r="Q29" i="1"/>
  <c r="O16" i="1"/>
  <c r="O43" i="1" s="1"/>
  <c r="Q16" i="1"/>
  <c r="O5" i="1"/>
  <c r="Q5" i="1"/>
  <c r="O21" i="1"/>
  <c r="Q21" i="1"/>
  <c r="Q6" i="1"/>
  <c r="Q22" i="1"/>
  <c r="Q38" i="1"/>
  <c r="O32" i="1"/>
  <c r="Q32" i="1"/>
  <c r="O4" i="1"/>
  <c r="Q4" i="1"/>
  <c r="O20" i="1"/>
  <c r="Q20" i="1"/>
  <c r="O9" i="1"/>
  <c r="Q9" i="1"/>
  <c r="O25" i="1"/>
  <c r="Q25" i="1"/>
  <c r="Q10" i="1"/>
  <c r="Q26" i="1"/>
  <c r="O36" i="1"/>
  <c r="Q36" i="1"/>
  <c r="O8" i="1"/>
  <c r="Q8" i="1"/>
  <c r="O24" i="1"/>
  <c r="Q24" i="1"/>
  <c r="O13" i="1"/>
  <c r="Q13" i="1"/>
  <c r="Q14" i="1"/>
  <c r="Q30" i="1"/>
  <c r="O33" i="1"/>
  <c r="Q33" i="1"/>
  <c r="O40" i="1"/>
  <c r="Q40" i="1"/>
  <c r="O12" i="1"/>
  <c r="Q12" i="1"/>
  <c r="O28" i="1"/>
  <c r="Q28" i="1"/>
  <c r="O17" i="1"/>
  <c r="Q17" i="1"/>
  <c r="Q18" i="1"/>
  <c r="Q34" i="1"/>
  <c r="Q11" i="1"/>
  <c r="Q27" i="1"/>
  <c r="Q2" i="1"/>
  <c r="O45" i="1" s="1"/>
  <c r="P14" i="1"/>
  <c r="P18" i="1"/>
  <c r="P30" i="1"/>
  <c r="N16" i="1"/>
  <c r="P16" i="1"/>
  <c r="N35" i="1"/>
  <c r="P35" i="1"/>
  <c r="N27" i="1"/>
  <c r="P27" i="1"/>
  <c r="N20" i="1"/>
  <c r="P20" i="1"/>
  <c r="N9" i="1"/>
  <c r="P9" i="1"/>
  <c r="P34" i="1"/>
  <c r="N8" i="1"/>
  <c r="P8" i="1"/>
  <c r="N24" i="1"/>
  <c r="P24" i="1"/>
  <c r="N40" i="1"/>
  <c r="P40" i="1"/>
  <c r="N31" i="1"/>
  <c r="P31" i="1"/>
  <c r="N21" i="1"/>
  <c r="P21" i="1"/>
  <c r="N3" i="1"/>
  <c r="P3" i="1"/>
  <c r="N19" i="1"/>
  <c r="P19" i="1"/>
  <c r="N33" i="1"/>
  <c r="P33" i="1"/>
  <c r="P6" i="1"/>
  <c r="P22" i="1"/>
  <c r="P38" i="1"/>
  <c r="N29" i="1"/>
  <c r="P29" i="1"/>
  <c r="N36" i="1"/>
  <c r="P36" i="1"/>
  <c r="N5" i="1"/>
  <c r="P5" i="1"/>
  <c r="N11" i="1"/>
  <c r="P11" i="1"/>
  <c r="N13" i="1"/>
  <c r="P13" i="1"/>
  <c r="N4" i="1"/>
  <c r="N43" i="1" s="1"/>
  <c r="P4" i="1"/>
  <c r="N32" i="1"/>
  <c r="P32" i="1"/>
  <c r="N15" i="1"/>
  <c r="P15" i="1"/>
  <c r="N17" i="1"/>
  <c r="P17" i="1"/>
  <c r="N12" i="1"/>
  <c r="P12" i="1"/>
  <c r="N28" i="1"/>
  <c r="P28" i="1"/>
  <c r="N39" i="1"/>
  <c r="P39" i="1"/>
  <c r="N25" i="1"/>
  <c r="P25" i="1"/>
  <c r="N7" i="1"/>
  <c r="P7" i="1"/>
  <c r="N23" i="1"/>
  <c r="P23" i="1"/>
  <c r="N37" i="1"/>
  <c r="P37" i="1"/>
  <c r="P10" i="1"/>
  <c r="P26" i="1"/>
  <c r="P2" i="1"/>
  <c r="N45" i="1" s="1"/>
  <c r="E24" i="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<sst xmlns="http://schemas.openxmlformats.org/spreadsheetml/2006/main" count="357" uniqueCount="206">
  <si>
    <t>movie_id</t>
  </si>
  <si>
    <t>industry</t>
  </si>
  <si>
    <t>release_year</t>
  </si>
  <si>
    <t>studio</t>
  </si>
  <si>
    <t>language_id</t>
  </si>
  <si>
    <t>Bollywood</t>
  </si>
  <si>
    <t>Hollywood</t>
  </si>
  <si>
    <t>Marvel Studios</t>
  </si>
  <si>
    <t>United Producers</t>
  </si>
  <si>
    <t>Yash Raj Films</t>
  </si>
  <si>
    <t>Vinod Chopra Films</t>
  </si>
  <si>
    <t>Dharma Productions</t>
  </si>
  <si>
    <t>Castle Rock Entertainment</t>
  </si>
  <si>
    <t>Warner Bros. Pictures</t>
  </si>
  <si>
    <t>Columbia Pictures</t>
  </si>
  <si>
    <t>Paramount Pictures</t>
  </si>
  <si>
    <t>Liberty Films</t>
  </si>
  <si>
    <t>20th Century Fox</t>
  </si>
  <si>
    <t>Syncopy</t>
  </si>
  <si>
    <t>Universal Pictures</t>
  </si>
  <si>
    <t>Vinod Chopra Productions</t>
  </si>
  <si>
    <t>Mythri Movie Makers</t>
  </si>
  <si>
    <t>DVV Entertainment</t>
  </si>
  <si>
    <t>Arka Media Works</t>
  </si>
  <si>
    <t>Zee Studios</t>
  </si>
  <si>
    <t>Salman Khan Films</t>
  </si>
  <si>
    <t>budget</t>
  </si>
  <si>
    <t>revenue</t>
  </si>
  <si>
    <t>unit</t>
  </si>
  <si>
    <t>currency</t>
  </si>
  <si>
    <t>Billions</t>
  </si>
  <si>
    <t>INR</t>
  </si>
  <si>
    <t>Millions</t>
  </si>
  <si>
    <t>USD</t>
  </si>
  <si>
    <t>actor_id</t>
  </si>
  <si>
    <t>name</t>
  </si>
  <si>
    <t>birth_year</t>
  </si>
  <si>
    <t>Yash</t>
  </si>
  <si>
    <t>Sanjay Dutt</t>
  </si>
  <si>
    <t>Benedict Cumberbatch</t>
  </si>
  <si>
    <t>Elizabeth Olsen</t>
  </si>
  <si>
    <t>Chris Hemsworth</t>
  </si>
  <si>
    <t>Natalie Portman</t>
  </si>
  <si>
    <t>Tom Hiddleston</t>
  </si>
  <si>
    <t>Amitabh Bachchan</t>
  </si>
  <si>
    <t>Jaya Bachchan</t>
  </si>
  <si>
    <t>Shah Rukh Khan</t>
  </si>
  <si>
    <t>Kajol</t>
  </si>
  <si>
    <t>Aamir Khan</t>
  </si>
  <si>
    <t>R. Madhavan</t>
  </si>
  <si>
    <t>Sharman Joshi</t>
  </si>
  <si>
    <t>Hrithik Roshan</t>
  </si>
  <si>
    <t>Ranveer Singh</t>
  </si>
  <si>
    <t>Deepika Padukone</t>
  </si>
  <si>
    <t>Tim Robbins</t>
  </si>
  <si>
    <t>Morgan Freeman</t>
  </si>
  <si>
    <t>Leonardo DiCaprio</t>
  </si>
  <si>
    <t>Ken Watanabe</t>
  </si>
  <si>
    <t>Matthew McConaughey</t>
  </si>
  <si>
    <t>Anne Hathaway</t>
  </si>
  <si>
    <t>John David Washington</t>
  </si>
  <si>
    <t>Robert Pattinson</t>
  </si>
  <si>
    <t>Will Smith</t>
  </si>
  <si>
    <t>Thandiwe Newton</t>
  </si>
  <si>
    <t>Russell Crowe</t>
  </si>
  <si>
    <t>Joaquin Phoenix</t>
  </si>
  <si>
    <t>Kate Winslet</t>
  </si>
  <si>
    <t>James Stewart</t>
  </si>
  <si>
    <t>Donna Reed</t>
  </si>
  <si>
    <t>Sam Worthington</t>
  </si>
  <si>
    <t>Zoe Saldana</t>
  </si>
  <si>
    <t>Marlon Brando</t>
  </si>
  <si>
    <t>Al Pacino</t>
  </si>
  <si>
    <t>Christian Bale</t>
  </si>
  <si>
    <t>Heath Ledger</t>
  </si>
  <si>
    <t>Liam Neeson</t>
  </si>
  <si>
    <t>Ben Kingsley</t>
  </si>
  <si>
    <t>Sam Neill</t>
  </si>
  <si>
    <t>Laura Dern</t>
  </si>
  <si>
    <t>Song Kang-ho</t>
  </si>
  <si>
    <t>Lee Sun-kyun</t>
  </si>
  <si>
    <t>Robert Downey Jr.</t>
  </si>
  <si>
    <t>Chris Evans</t>
  </si>
  <si>
    <t>Kanu Banerjee</t>
  </si>
  <si>
    <t>Karuna Banerjee</t>
  </si>
  <si>
    <t>Darsheel Safary</t>
  </si>
  <si>
    <t>Sunil Dutt</t>
  </si>
  <si>
    <t>Anushka Sharma</t>
  </si>
  <si>
    <t>Ranbir Kapoor</t>
  </si>
  <si>
    <t>Allu Arjun</t>
  </si>
  <si>
    <t>Fahadh Faasil</t>
  </si>
  <si>
    <t>N. T. Rama Rao Jr.</t>
  </si>
  <si>
    <t>Ram Charan</t>
  </si>
  <si>
    <t>Prabhas</t>
  </si>
  <si>
    <t>Rana Daggubati</t>
  </si>
  <si>
    <t>Mithun Chakraborty</t>
  </si>
  <si>
    <t>Anupam Kher</t>
  </si>
  <si>
    <t>Salman Khan</t>
  </si>
  <si>
    <t>Nawazuddin Siddiqui</t>
  </si>
  <si>
    <t>Tommy Lee Jones</t>
  </si>
  <si>
    <t>Sebastian Stan</t>
  </si>
  <si>
    <t>Anil Kapoor</t>
  </si>
  <si>
    <t>Sidharth Malhotra</t>
  </si>
  <si>
    <t>Kiara Advani</t>
  </si>
  <si>
    <t>Hindi</t>
  </si>
  <si>
    <t>Telugu</t>
  </si>
  <si>
    <t>Kannada</t>
  </si>
  <si>
    <t>Tamil</t>
  </si>
  <si>
    <t>English</t>
  </si>
  <si>
    <t>French</t>
  </si>
  <si>
    <t>Bengali</t>
  </si>
  <si>
    <t>Gujarati</t>
  </si>
  <si>
    <t>NULL</t>
  </si>
  <si>
    <t>Not Available</t>
  </si>
  <si>
    <t>Hombale Films</t>
  </si>
  <si>
    <t>Government of West Bengal</t>
  </si>
  <si>
    <t>K.G.F: Chapter 2</t>
  </si>
  <si>
    <t>Doctor Strange in the Multiverse of Madness</t>
  </si>
  <si>
    <t>Thor: The Dark World</t>
  </si>
  <si>
    <t>Thor: Ragnarok</t>
  </si>
  <si>
    <t>Thor: Love and Thunder</t>
  </si>
  <si>
    <t>Sholay</t>
  </si>
  <si>
    <t>Dilwale Dulhania Le Jayenge</t>
  </si>
  <si>
    <t>3 Idiots</t>
  </si>
  <si>
    <t>Kabhi Khushi Kabhie Gham</t>
  </si>
  <si>
    <t>Bajirao Mastani</t>
  </si>
  <si>
    <t>The Shawshank Redemption</t>
  </si>
  <si>
    <t>Inception</t>
  </si>
  <si>
    <t>Interstellar</t>
  </si>
  <si>
    <t>The Pursuit of Happyness</t>
  </si>
  <si>
    <t>Gladiator</t>
  </si>
  <si>
    <t>Titanic</t>
  </si>
  <si>
    <t>It's a Wonderful Life</t>
  </si>
  <si>
    <t>Avatar</t>
  </si>
  <si>
    <t>The Godfather</t>
  </si>
  <si>
    <t>The Dark Knight</t>
  </si>
  <si>
    <t>Schindler's List</t>
  </si>
  <si>
    <t>Jurassic Park</t>
  </si>
  <si>
    <t>Parasite</t>
  </si>
  <si>
    <t>Avengers: Endgame</t>
  </si>
  <si>
    <t>Avengers: Infinity War</t>
  </si>
  <si>
    <t>Pather Panchali</t>
  </si>
  <si>
    <t>Taare Zameen Par</t>
  </si>
  <si>
    <t>Munna Bhai M.B.B.S.</t>
  </si>
  <si>
    <t>PK</t>
  </si>
  <si>
    <t>Sanju</t>
  </si>
  <si>
    <t>Pushpa: The Rise - Part 1</t>
  </si>
  <si>
    <t>RRR</t>
  </si>
  <si>
    <t>Baahubali: The Beginning</t>
  </si>
  <si>
    <t>The Kashmir Files</t>
  </si>
  <si>
    <t>Bajrangi Bhaijaan</t>
  </si>
  <si>
    <t>Captain America: The First Avenger</t>
  </si>
  <si>
    <t>Captain America: The Winter Soldier</t>
  </si>
  <si>
    <t>Race 3</t>
  </si>
  <si>
    <t>Shershaah</t>
  </si>
  <si>
    <t>title</t>
  </si>
  <si>
    <t>budget mln</t>
  </si>
  <si>
    <t>revenue(mln)</t>
  </si>
  <si>
    <t>Budget INR</t>
  </si>
  <si>
    <t>revenue INR</t>
  </si>
  <si>
    <t>budget USD</t>
  </si>
  <si>
    <t>revenue USD</t>
  </si>
  <si>
    <t>TOTAL INR(mln)</t>
  </si>
  <si>
    <t>TOTAL USD(mln)</t>
  </si>
  <si>
    <t>BUDGET</t>
  </si>
  <si>
    <t>REVENUE</t>
  </si>
  <si>
    <t>Total Movies</t>
  </si>
  <si>
    <t>Total Bollywood Movies</t>
  </si>
  <si>
    <t>% of Bollywood movie</t>
  </si>
  <si>
    <t>Bollywood Budget</t>
  </si>
  <si>
    <t>Bollywood revenue</t>
  </si>
  <si>
    <t>Hollywood revenue</t>
  </si>
  <si>
    <t>Average revenue</t>
  </si>
  <si>
    <t>Hollywood movies</t>
  </si>
  <si>
    <t>Key Metrics</t>
  </si>
  <si>
    <t>Marvel Consolidated P&amp;L</t>
  </si>
  <si>
    <t>Revenue</t>
  </si>
  <si>
    <t>Budget</t>
  </si>
  <si>
    <t>Profit/Loss</t>
  </si>
  <si>
    <t>Profit/Loss %</t>
  </si>
  <si>
    <t>Market Share</t>
  </si>
  <si>
    <t>Target</t>
  </si>
  <si>
    <t>Target-Actuals</t>
  </si>
  <si>
    <t>Target -Actuals  %</t>
  </si>
  <si>
    <t xml:space="preserve"> </t>
  </si>
  <si>
    <t>rating</t>
  </si>
  <si>
    <t xml:space="preserve">Mean </t>
  </si>
  <si>
    <t>Median</t>
  </si>
  <si>
    <t>Mode</t>
  </si>
  <si>
    <t>Variance</t>
  </si>
  <si>
    <t>Name</t>
  </si>
  <si>
    <t>Aisha</t>
  </si>
  <si>
    <t>Rohan</t>
  </si>
  <si>
    <t>Sameer</t>
  </si>
  <si>
    <t>Neha</t>
  </si>
  <si>
    <t>Arjun</t>
  </si>
  <si>
    <t>Sana</t>
  </si>
  <si>
    <t>Vikram</t>
  </si>
  <si>
    <t>Yearly Income</t>
  </si>
  <si>
    <t>Azio</t>
  </si>
  <si>
    <t>Juganda Income Levels</t>
  </si>
  <si>
    <t>Mean</t>
  </si>
  <si>
    <t>Krance  Income Levels</t>
  </si>
  <si>
    <t>Square</t>
  </si>
  <si>
    <t xml:space="preserve">Income-Avg 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</si>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</sst>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 &quot;₹&quot;\ * #,##0.00_ ;_ &quot;₹&quot;\ * \-#,##0.00_ ;_ &quot;₹&quot;\ * &quot;-&quot;??_ ;_ @_ "/>
    <numFmt numFmtId="164" formatCode="_ [$₹-4009]\ * #,##0.00_ ;_ [$₹-4009]\ * \-#,##0.00_ ;_ [$₹-4009]\ * &quot;-&quot;??_ ;_ @_ "/>
    <numFmt numFmtId="165" formatCode="_-[$$-409]* #,##0.00_ ;_-[$$-409]* \-#,##0.00\ ;_-[$$-409]* &quot;-&quot;??_ ;_-@_ "/>
    <numFmt numFmtId="166" formatCode="0.0%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9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164" fontId="0" fillId="3" borderId="0" xfId="0" applyNumberFormat="1" applyFill="1"/>
    <xf numFmtId="44" fontId="0" fillId="3" borderId="0" xfId="1" applyFont="1" applyFill="1"/>
    <xf numFmtId="165" fontId="0" fillId="3" borderId="0" xfId="0" applyNumberFormat="1" applyFill="1"/>
    <xf numFmtId="9" fontId="0" fillId="0" borderId="0" xfId="2" applyFont="1"/>
    <xf numFmtId="0" fontId="0" fillId="4" borderId="0" xfId="0" applyFill="1"/>
    <xf numFmtId="9" fontId="0" fillId="4" borderId="0" xfId="2" applyFont="1" applyFill="1"/>
    <xf numFmtId="166" fontId="0" fillId="0" borderId="0" xfId="2" applyNumberFormat="1" applyFont="1"/>
    <xf numFmtId="9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5" borderId="0" xfId="0" applyFill="1"/>
    <xf numFmtId="0" fontId="0" fillId="0" borderId="0" xfId="0" applyAlignment="1">
      <alignment horizontal="center"/>
    </xf>
    <xf numFmtId="1" fontId="0" fillId="0" borderId="0" xfId="0" applyNumberFormat="1"/>
    <xf numFmtId="0" fontId="0" fillId="0" borderId="0" xfId="0" applyNumberFormat="1"/>
    <xf numFmtId="0" fontId="0" fillId="6" borderId="0" xfId="0" applyFill="1"/>
  </cellXfs>
  <cellStyles count="3">
    <cellStyle name="Currency" xfId="1" builtinId="4"/>
    <cellStyle name="Normal" xfId="0" builtinId="0"/>
    <cellStyle name="Percent" xfId="2" builtinId="5"/>
  </cellStyles>
  <dxfs count="2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2" tint="-0.749992370372631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</dxfs>
  <tableStyles count="1" defaultTableStyle="TableStyleMedium2" defaultPivotStyle="PivotStyleLight16">
    <tableStyle name="Invisible" pivot="0" table="0" count="0" xr9:uid="{AE843E39-C0BB-439B-8FFD-C1F7AAB2B83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7FE39D-5614-4A7F-89B7-C167ABC0A251}" name="Movies" displayName="Movies" ref="A1:Q40" totalsRowShown="0" headerRowDxfId="23">
  <autoFilter ref="A1:Q40" xr:uid="{6A7FE39D-5614-4A7F-89B7-C167ABC0A251}"/>
  <tableColumns count="17">
    <tableColumn id="1" xr3:uid="{5E453F0D-B27C-433C-BF11-BA3FE1A6822E}" name="movie_id"/>
    <tableColumn id="8" xr3:uid="{AEC53FD7-BF8A-4895-B8F6-DCBA25100657}" name="title"/>
    <tableColumn id="3" xr3:uid="{A73DC6E7-A5B7-4D92-B13E-587CFA363BFA}" name="industry"/>
    <tableColumn id="4" xr3:uid="{DFE5EBBB-5DEF-4AB9-A5C9-802FC0AD1B5B}" name="release_year"/>
    <tableColumn id="5" xr3:uid="{D500D219-E618-40DD-B4AA-E390F996EF1E}" name="rating"/>
    <tableColumn id="6" xr3:uid="{D06057E5-53B4-474F-BA7C-D7BC731BE502}" name="studio"/>
    <tableColumn id="7" xr3:uid="{70C8CD53-1FFB-4649-B796-093E6560F8C9}" name="language_id"/>
    <tableColumn id="14" xr3:uid="{DD2A0151-E545-4BFF-93A3-124AFC8C3768}" name="budget" dataDxfId="22">
      <calculatedColumnFormula array="1">_xlfn.XLOOKUP(Movies[[#This Row],[movie_id]:[movie_id]],Financials[[#All],[movie_id]:[movie_id]],Financials[[#All],[budget]],"Not Available",0)</calculatedColumnFormula>
    </tableColumn>
    <tableColumn id="19" xr3:uid="{DB0D2613-55BC-4836-9E67-0E5D587EA27B}" name="revenue">
      <calculatedColumnFormula array="1">_xlfn.XLOOKUP(Movies[[#This Row],[movie_id]:[movie_id]],Financials[[#All],[movie_id]:[movie_id]],Financials[[#All],[revenue]],"Not Available",0)</calculatedColumnFormula>
    </tableColumn>
    <tableColumn id="15" xr3:uid="{4FC460F8-5501-4B3D-B612-AA6EA53F088D}" name="unit" dataDxfId="21">
      <calculatedColumnFormula array="1">_xlfn.XLOOKUP(Movies[[#This Row],[movie_id]:[movie_id]],Financials[[#All],[movie_id]:[movie_id]],Financials[[#All],[unit]],"Not Available",0)</calculatedColumnFormula>
    </tableColumn>
    <tableColumn id="16" xr3:uid="{71AF9D00-263F-48BA-A598-7B2DDE3DCFC0}" name="currency" dataDxfId="20">
      <calculatedColumnFormula array="1">_xlfn.XLOOKUP(Movies[[#This Row],[movie_id]:[movie_id]],Financials[[#All],[movie_id]:[movie_id]],Financials[[#All],[currency]],"Not Available",0)</calculatedColumnFormula>
    </tableColumn>
    <tableColumn id="2" xr3:uid="{B6BA2A99-F066-40A3-9296-01B350CD5DE5}" name="budget mln" dataDxfId="19">
      <calculatedColumnFormula>IF(Movies[[#This Row],[unit]]="Billions",Movies[[#This Row],[budget]]*1000,Movies[[#This Row],[budget]])</calculatedColumnFormula>
    </tableColumn>
    <tableColumn id="9" xr3:uid="{841F225B-D322-48AC-BE94-2E0F69FBE86B}" name="revenue(mln)" dataDxfId="18">
      <calculatedColumnFormula>IF(Movies[[#This Row],[unit]]="Billions",Movies[[#This Row],[revenue]]*1000,Movies[[#This Row],[revenue]])</calculatedColumnFormula>
    </tableColumn>
    <tableColumn id="10" xr3:uid="{2C9C2DBC-3F47-4CF2-9E09-1DB82D0CB04A}" name="Budget INR" dataDxfId="17">
      <calculatedColumnFormula>IF(Movies[[#This Row],[currency]]="USD",Movies[[#This Row],[budget mln]]*80,Movies[[#This Row],[budget mln]])</calculatedColumnFormula>
    </tableColumn>
    <tableColumn id="11" xr3:uid="{3D2B3426-0E78-470F-993F-6813C3D42096}" name="revenue INR" dataDxfId="16">
      <calculatedColumnFormula>IF(Movies[[#This Row],[currency]]="USD",Movies[[#This Row],[revenue(mln)]]*80,Movies[[#This Row],[revenue(mln)]])</calculatedColumnFormula>
    </tableColumn>
    <tableColumn id="12" xr3:uid="{347EBD29-E933-41F3-A5AB-E48F095B91F3}" name="budget USD" dataDxfId="15">
      <calculatedColumnFormula>IF(Movies[[#This Row],[currency]]="INR",Movies[[#This Row],[budget mln]]/80,Movies[[#This Row],[budget mln]])</calculatedColumnFormula>
    </tableColumn>
    <tableColumn id="13" xr3:uid="{D4B63638-CAB9-4B5B-BFB0-618923323E54}" name="revenue USD" dataDxfId="14">
      <calculatedColumnFormula>IF(Movies[[#This Row],[currency]]="INR",Movies[[#This Row],[revenue(mln)]]/80,Movies[[#This Row],[revenue(mln)]])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C907F-917F-4689-8EAB-F7CEF660B9E4}" name="Financials" displayName="Financials" ref="A1:E41" totalsRowShown="0" headerRowDxfId="13">
  <autoFilter ref="A1:E41" xr:uid="{DCEC907F-917F-4689-8EAB-F7CEF660B9E4}"/>
  <tableColumns count="5">
    <tableColumn id="1" xr3:uid="{D1A9B0F4-FC15-4DC9-80C7-7EBF56996521}" name="movie_id"/>
    <tableColumn id="2" xr3:uid="{7A82C7E9-BE81-4BFD-9DE1-91C9F01BD827}" name="budget"/>
    <tableColumn id="3" xr3:uid="{965E2B99-FA87-4277-B9CC-A0E3C19DE420}" name="revenue"/>
    <tableColumn id="4" xr3:uid="{96087170-9E57-4229-AC50-74EEA71833C0}" name="unit"/>
    <tableColumn id="5" xr3:uid="{6495EEB2-7844-4F05-9057-6857978F8760}" name="curr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E9627B-7F83-4E00-A9BD-B2B85ADBBA2F}" name="actors" displayName="actors" ref="A1:C68" totalsRowShown="0" headerRowDxfId="12">
  <autoFilter ref="A1:C68" xr:uid="{49E9627B-7F83-4E00-A9BD-B2B85ADBBA2F}"/>
  <tableColumns count="3">
    <tableColumn id="1" xr3:uid="{17C41506-36D4-4294-9829-5A0C52DE3455}" name="actor_id"/>
    <tableColumn id="2" xr3:uid="{2876D79C-DCCC-46A7-9A7C-E9583B5ED0CC}" name="name"/>
    <tableColumn id="3" xr3:uid="{FAFDAD74-E8EF-4409-98E8-FA816AA45652}" name="birth_ye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9F3DFB9-F7AC-4F5D-9639-8E5EFD749C75}" name="movieactor" displayName="movieactor" ref="A1:B86" totalsRowShown="0" headerRowDxfId="11">
  <autoFilter ref="A1:B86" xr:uid="{69F3DFB9-F7AC-4F5D-9639-8E5EFD749C75}"/>
  <tableColumns count="2">
    <tableColumn id="1" xr3:uid="{726AA249-607F-4CEE-9C80-419BD67B7D42}" name="movie_id"/>
    <tableColumn id="2" xr3:uid="{A11280A0-C25A-482F-B3E4-13975B2F5282}" name="actor_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058435-0457-4C21-A779-EC166EB5551A}" name="languages" displayName="languages" ref="A1:B9" totalsRowShown="0" headerRowDxfId="10">
  <autoFilter ref="A1:B9" xr:uid="{1C058435-0457-4C21-A779-EC166EB5551A}"/>
  <tableColumns count="2">
    <tableColumn id="1" xr3:uid="{E256DBAD-6FC6-4A32-8A1D-C74A5F599F74}" name="language_id"/>
    <tableColumn id="2" xr3:uid="{583CF6B9-244C-4D0F-A271-B5A1C600F170}" name="nam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80E44-E5B1-4E37-9219-C462ADFDB84F}" name="Table6" displayName="Table6" ref="B11:E20" totalsRowCount="1" headerRowDxfId="9">
  <autoFilter ref="B11:E19" xr:uid="{B2080E44-E5B1-4E37-9219-C462ADFDB84F}"/>
  <tableColumns count="4">
    <tableColumn id="1" xr3:uid="{0ADA2DE7-C643-4D5A-A7A8-91C0BC9E5C16}" name="Name"/>
    <tableColumn id="2" xr3:uid="{F0D769EF-3A42-4998-930C-16F27B0532B3}" name="Yearly Income"/>
    <tableColumn id="3" xr3:uid="{670550D3-4AE9-4A34-B07C-51780F186308}" name="Income-Avg " dataDxfId="3" totalsRowDxfId="1">
      <calculatedColumnFormula>Table6[[#This Row],[Yearly Income]]-juganda_mean_income</calculatedColumnFormula>
    </tableColumn>
    <tableColumn id="4" xr3:uid="{5927412C-BC41-4936-B93F-153C772D98C5}" name="Square" totalsRowFunction="custom" dataDxfId="2" totalsRowDxfId="0">
      <calculatedColumnFormula>Table6[[#This Row],[Income-Avg ]]*Table6[[#This Row],[Income-Avg ]]</calculatedColumnFormula>
      <totalsRowFormula>SUM(E12:E19)</totalsRow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9"/>
  <sheetViews>
    <sheetView zoomScale="151" zoomScaleNormal="130" workbookViewId="0">
      <selection activeCell="E2" sqref="E2"/>
    </sheetView>
  </sheetViews>
  <sheetFormatPr defaultRowHeight="14.4" x14ac:dyDescent="0.3"/>
  <cols>
    <col min="1" max="1" width="11.88671875" customWidth="1"/>
    <col min="2" max="2" width="29.6640625" customWidth="1"/>
    <col min="3" max="3" width="10.5546875" bestFit="1" customWidth="1"/>
    <col min="4" max="4" width="9" customWidth="1"/>
    <col min="5" max="5" width="11.6640625" customWidth="1"/>
    <col min="6" max="6" width="22" customWidth="1"/>
    <col min="7" max="7" width="7.77734375" customWidth="1"/>
    <col min="8" max="9" width="16.6640625" customWidth="1"/>
    <col min="10" max="10" width="13.109375" customWidth="1"/>
    <col min="12" max="12" width="12.6640625" customWidth="1"/>
    <col min="13" max="13" width="14.44140625" customWidth="1"/>
    <col min="14" max="14" width="17.5546875" customWidth="1"/>
    <col min="15" max="15" width="15.44140625" customWidth="1"/>
    <col min="16" max="16" width="13.5546875" customWidth="1"/>
    <col min="17" max="17" width="12.21875" customWidth="1"/>
  </cols>
  <sheetData>
    <row r="1" spans="1:17" x14ac:dyDescent="0.3">
      <c r="A1" s="1" t="s">
        <v>0</v>
      </c>
      <c r="B1" s="1" t="s">
        <v>155</v>
      </c>
      <c r="C1" s="1" t="s">
        <v>1</v>
      </c>
      <c r="D1" s="1" t="s">
        <v>2</v>
      </c>
      <c r="E1" s="1" t="s">
        <v>185</v>
      </c>
      <c r="F1" s="1" t="s">
        <v>3</v>
      </c>
      <c r="G1" s="1" t="s">
        <v>4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156</v>
      </c>
      <c r="M1" s="1" t="s">
        <v>157</v>
      </c>
      <c r="N1" s="1" t="s">
        <v>158</v>
      </c>
      <c r="O1" s="1" t="s">
        <v>159</v>
      </c>
      <c r="P1" s="1" t="s">
        <v>160</v>
      </c>
      <c r="Q1" s="1" t="s">
        <v>161</v>
      </c>
    </row>
    <row r="2" spans="1:17" x14ac:dyDescent="0.3">
      <c r="A2">
        <v>101</v>
      </c>
      <c r="B2" t="s">
        <v>116</v>
      </c>
      <c r="C2" t="s">
        <v>5</v>
      </c>
      <c r="D2">
        <v>2022</v>
      </c>
      <c r="E2">
        <v>8.4</v>
      </c>
      <c r="F2" t="s">
        <v>114</v>
      </c>
      <c r="G2">
        <v>3</v>
      </c>
      <c r="H2" cm="1">
        <f t="array" ref="H2">_xlfn.XLOOKUP(Movies[[#This Row],[movie_id]:[movie_id]],Financials[[#All],[movie_id]:[movie_id]],Financials[[#All],[budget]],"Not Available",0)</f>
        <v>1</v>
      </c>
      <c r="I2" cm="1">
        <f t="array" ref="I2">_xlfn.XLOOKUP(Movies[[#This Row],[movie_id]:[movie_id]],Financials[[#All],[movie_id]:[movie_id]],Financials[[#All],[revenue]],"Not Available",0)</f>
        <v>12.5</v>
      </c>
      <c r="J2" t="str" cm="1">
        <f t="array" ref="J2">_xlfn.XLOOKUP(Movies[[#This Row],[movie_id]:[movie_id]],Financials[[#All],[movie_id]:[movie_id]],Financials[[#All],[unit]],"Not Available",0)</f>
        <v>Billions</v>
      </c>
      <c r="K2" t="str" cm="1">
        <f t="array" ref="K2">_xlfn.XLOOKUP(Movies[[#This Row],[movie_id]:[movie_id]],Financials[[#All],[movie_id]:[movie_id]],Financials[[#All],[currency]],"Not Available",0)</f>
        <v>INR</v>
      </c>
      <c r="L2">
        <f>IF(Movies[[#This Row],[unit]]="Billions",Movies[[#This Row],[budget]]*1000,Movies[[#This Row],[budget]])</f>
        <v>1000</v>
      </c>
      <c r="M2">
        <f>IF(Movies[[#This Row],[unit]]="Billions",Movies[[#This Row],[revenue]]*1000,Movies[[#This Row],[revenue]])</f>
        <v>12500</v>
      </c>
      <c r="N2">
        <f>IF(Movies[[#This Row],[currency]]="USD",Movies[[#This Row],[budget mln]]*80,Movies[[#This Row],[budget mln]])</f>
        <v>1000</v>
      </c>
      <c r="O2">
        <f>IF(Movies[[#This Row],[currency]]="USD",Movies[[#This Row],[revenue(mln)]]*80,Movies[[#This Row],[revenue(mln)]])</f>
        <v>12500</v>
      </c>
      <c r="P2">
        <f>IF(Movies[[#This Row],[currency]]="INR",Movies[[#This Row],[budget mln]]/80,Movies[[#This Row],[budget mln]])</f>
        <v>12.5</v>
      </c>
      <c r="Q2">
        <f>IF(Movies[[#This Row],[currency]]="INR",Movies[[#This Row],[revenue(mln)]]/80,Movies[[#This Row],[revenue(mln)]])</f>
        <v>156.25</v>
      </c>
    </row>
    <row r="3" spans="1:17" x14ac:dyDescent="0.3">
      <c r="A3">
        <v>102</v>
      </c>
      <c r="B3" t="s">
        <v>117</v>
      </c>
      <c r="C3" t="s">
        <v>6</v>
      </c>
      <c r="D3">
        <v>2022</v>
      </c>
      <c r="E3">
        <v>7</v>
      </c>
      <c r="F3" t="s">
        <v>7</v>
      </c>
      <c r="G3">
        <v>5</v>
      </c>
      <c r="H3" cm="1">
        <f t="array" ref="H3">_xlfn.XLOOKUP(Movies[[#This Row],[movie_id]:[movie_id]],Financials[[#All],[movie_id]:[movie_id]],Financials[[#All],[budget]],"Not Available",0)</f>
        <v>200</v>
      </c>
      <c r="I3" cm="1">
        <f t="array" ref="I3">_xlfn.XLOOKUP(Movies[[#This Row],[movie_id]:[movie_id]],Financials[[#All],[movie_id]:[movie_id]],Financials[[#All],[revenue]],"Not Available",0)</f>
        <v>954.8</v>
      </c>
      <c r="J3" t="str" cm="1">
        <f t="array" ref="J3">_xlfn.XLOOKUP(Movies[[#This Row],[movie_id]:[movie_id]],Financials[[#All],[movie_id]:[movie_id]],Financials[[#All],[unit]],"Not Available",0)</f>
        <v>Millions</v>
      </c>
      <c r="K3" t="str" cm="1">
        <f t="array" ref="K3">_xlfn.XLOOKUP(Movies[[#This Row],[movie_id]:[movie_id]],Financials[[#All],[movie_id]:[movie_id]],Financials[[#All],[currency]],"Not Available",0)</f>
        <v>USD</v>
      </c>
      <c r="L3">
        <f>IF(Movies[[#This Row],[unit]]="Billions",Movies[[#This Row],[budget]]*1000,Movies[[#This Row],[budget]])</f>
        <v>200</v>
      </c>
      <c r="M3">
        <f>IF(Movies[[#This Row],[unit]]="Billions",Movies[[#This Row],[revenue]]*1000,Movies[[#This Row],[revenue]])</f>
        <v>954.8</v>
      </c>
      <c r="N3">
        <f>IF(Movies[[#This Row],[currency]]="USD",Movies[[#This Row],[budget mln]]*80,Movies[[#This Row],[budget mln]])</f>
        <v>16000</v>
      </c>
      <c r="O3">
        <f>IF(Movies[[#This Row],[currency]]="USD",Movies[[#This Row],[revenue(mln)]]*80,Movies[[#This Row],[revenue(mln)]])</f>
        <v>76384</v>
      </c>
      <c r="P3">
        <f>IF(Movies[[#This Row],[currency]]="INR",Movies[[#This Row],[budget mln]]/80,Movies[[#This Row],[budget mln]])</f>
        <v>200</v>
      </c>
      <c r="Q3">
        <f>IF(Movies[[#This Row],[currency]]="INR",Movies[[#This Row],[revenue(mln)]]/80,Movies[[#This Row],[revenue(mln)]])</f>
        <v>954.8</v>
      </c>
    </row>
    <row r="4" spans="1:17" x14ac:dyDescent="0.3">
      <c r="A4">
        <v>103</v>
      </c>
      <c r="B4" t="s">
        <v>118</v>
      </c>
      <c r="C4" t="s">
        <v>6</v>
      </c>
      <c r="D4">
        <v>2013</v>
      </c>
      <c r="E4">
        <v>6.8</v>
      </c>
      <c r="F4" t="s">
        <v>7</v>
      </c>
      <c r="G4">
        <v>5</v>
      </c>
      <c r="H4" cm="1">
        <f t="array" ref="H4">_xlfn.XLOOKUP(Movies[[#This Row],[movie_id]:[movie_id]],Financials[[#All],[movie_id]:[movie_id]],Financials[[#All],[budget]],"Not Available",0)</f>
        <v>165</v>
      </c>
      <c r="I4" cm="1">
        <f t="array" ref="I4">_xlfn.XLOOKUP(Movies[[#This Row],[movie_id]:[movie_id]],Financials[[#All],[movie_id]:[movie_id]],Financials[[#All],[revenue]],"Not Available",0)</f>
        <v>644.79999999999995</v>
      </c>
      <c r="J4" t="str" cm="1">
        <f t="array" ref="J4">_xlfn.XLOOKUP(Movies[[#This Row],[movie_id]:[movie_id]],Financials[[#All],[movie_id]:[movie_id]],Financials[[#All],[unit]],"Not Available",0)</f>
        <v>Millions</v>
      </c>
      <c r="K4" t="str" cm="1">
        <f t="array" ref="K4">_xlfn.XLOOKUP(Movies[[#This Row],[movie_id]:[movie_id]],Financials[[#All],[movie_id]:[movie_id]],Financials[[#All],[currency]],"Not Available",0)</f>
        <v>USD</v>
      </c>
      <c r="L4">
        <f>IF(Movies[[#This Row],[unit]]="Billions",Movies[[#This Row],[budget]]*1000,Movies[[#This Row],[budget]])</f>
        <v>165</v>
      </c>
      <c r="M4">
        <f>IF(Movies[[#This Row],[unit]]="Billions",Movies[[#This Row],[revenue]]*1000,Movies[[#This Row],[revenue]])</f>
        <v>644.79999999999995</v>
      </c>
      <c r="N4">
        <f>IF(Movies[[#This Row],[currency]]="USD",Movies[[#This Row],[budget mln]]*80,Movies[[#This Row],[budget mln]])</f>
        <v>13200</v>
      </c>
      <c r="O4">
        <f>IF(Movies[[#This Row],[currency]]="USD",Movies[[#This Row],[revenue(mln)]]*80,Movies[[#This Row],[revenue(mln)]])</f>
        <v>51584</v>
      </c>
      <c r="P4">
        <f>IF(Movies[[#This Row],[currency]]="INR",Movies[[#This Row],[budget mln]]/80,Movies[[#This Row],[budget mln]])</f>
        <v>165</v>
      </c>
      <c r="Q4">
        <f>IF(Movies[[#This Row],[currency]]="INR",Movies[[#This Row],[revenue(mln)]]/80,Movies[[#This Row],[revenue(mln)]])</f>
        <v>644.79999999999995</v>
      </c>
    </row>
    <row r="5" spans="1:17" x14ac:dyDescent="0.3">
      <c r="A5">
        <v>104</v>
      </c>
      <c r="B5" t="s">
        <v>119</v>
      </c>
      <c r="C5" t="s">
        <v>6</v>
      </c>
      <c r="D5">
        <v>2017</v>
      </c>
      <c r="E5">
        <v>7.9</v>
      </c>
      <c r="F5" t="s">
        <v>7</v>
      </c>
      <c r="G5">
        <v>5</v>
      </c>
      <c r="H5" cm="1">
        <f t="array" ref="H5">_xlfn.XLOOKUP(Movies[[#This Row],[movie_id]:[movie_id]],Financials[[#All],[movie_id]:[movie_id]],Financials[[#All],[budget]],"Not Available",0)</f>
        <v>180</v>
      </c>
      <c r="I5" cm="1">
        <f t="array" ref="I5">_xlfn.XLOOKUP(Movies[[#This Row],[movie_id]:[movie_id]],Financials[[#All],[movie_id]:[movie_id]],Financials[[#All],[revenue]],"Not Available",0)</f>
        <v>854</v>
      </c>
      <c r="J5" t="str" cm="1">
        <f t="array" ref="J5">_xlfn.XLOOKUP(Movies[[#This Row],[movie_id]:[movie_id]],Financials[[#All],[movie_id]:[movie_id]],Financials[[#All],[unit]],"Not Available",0)</f>
        <v>Millions</v>
      </c>
      <c r="K5" t="str" cm="1">
        <f t="array" ref="K5">_xlfn.XLOOKUP(Movies[[#This Row],[movie_id]:[movie_id]],Financials[[#All],[movie_id]:[movie_id]],Financials[[#All],[currency]],"Not Available",0)</f>
        <v>USD</v>
      </c>
      <c r="L5">
        <f>IF(Movies[[#This Row],[unit]]="Billions",Movies[[#This Row],[budget]]*1000,Movies[[#This Row],[budget]])</f>
        <v>180</v>
      </c>
      <c r="M5">
        <f>IF(Movies[[#This Row],[unit]]="Billions",Movies[[#This Row],[revenue]]*1000,Movies[[#This Row],[revenue]])</f>
        <v>854</v>
      </c>
      <c r="N5">
        <f>IF(Movies[[#This Row],[currency]]="USD",Movies[[#This Row],[budget mln]]*80,Movies[[#This Row],[budget mln]])</f>
        <v>14400</v>
      </c>
      <c r="O5">
        <f>IF(Movies[[#This Row],[currency]]="USD",Movies[[#This Row],[revenue(mln)]]*80,Movies[[#This Row],[revenue(mln)]])</f>
        <v>68320</v>
      </c>
      <c r="P5">
        <f>IF(Movies[[#This Row],[currency]]="INR",Movies[[#This Row],[budget mln]]/80,Movies[[#This Row],[budget mln]])</f>
        <v>180</v>
      </c>
      <c r="Q5">
        <f>IF(Movies[[#This Row],[currency]]="INR",Movies[[#This Row],[revenue(mln)]]/80,Movies[[#This Row],[revenue(mln)]])</f>
        <v>854</v>
      </c>
    </row>
    <row r="6" spans="1:17" x14ac:dyDescent="0.3">
      <c r="A6">
        <v>105</v>
      </c>
      <c r="B6" t="s">
        <v>120</v>
      </c>
      <c r="C6" t="s">
        <v>6</v>
      </c>
      <c r="D6">
        <v>2022</v>
      </c>
      <c r="E6">
        <v>6.8</v>
      </c>
      <c r="F6" t="s">
        <v>7</v>
      </c>
      <c r="G6">
        <v>5</v>
      </c>
      <c r="H6" cm="1">
        <f t="array" ref="H6">_xlfn.XLOOKUP(Movies[[#This Row],[movie_id]:[movie_id]],Financials[[#All],[movie_id]:[movie_id]],Financials[[#All],[budget]],"Not Available",0)</f>
        <v>250</v>
      </c>
      <c r="I6" cm="1">
        <f t="array" ref="I6">_xlfn.XLOOKUP(Movies[[#This Row],[movie_id]:[movie_id]],Financials[[#All],[movie_id]:[movie_id]],Financials[[#All],[revenue]],"Not Available",0)</f>
        <v>670</v>
      </c>
      <c r="J6" t="str" cm="1">
        <f t="array" ref="J6">_xlfn.XLOOKUP(Movies[[#This Row],[movie_id]:[movie_id]],Financials[[#All],[movie_id]:[movie_id]],Financials[[#All],[unit]],"Not Available",0)</f>
        <v>Millions</v>
      </c>
      <c r="K6" t="str" cm="1">
        <f t="array" ref="K6">_xlfn.XLOOKUP(Movies[[#This Row],[movie_id]:[movie_id]],Financials[[#All],[movie_id]:[movie_id]],Financials[[#All],[currency]],"Not Available",0)</f>
        <v>USD</v>
      </c>
      <c r="L6">
        <f>IF(Movies[[#This Row],[unit]]="Billions",Movies[[#This Row],[budget]]*1000,Movies[[#This Row],[budget]])</f>
        <v>250</v>
      </c>
      <c r="M6">
        <f>IF(Movies[[#This Row],[unit]]="Billions",Movies[[#This Row],[revenue]]*1000,Movies[[#This Row],[revenue]])</f>
        <v>670</v>
      </c>
      <c r="N6">
        <f>IF(Movies[[#This Row],[currency]]="USD",Movies[[#This Row],[budget mln]]*80,Movies[[#This Row],[budget mln]])</f>
        <v>20000</v>
      </c>
      <c r="O6">
        <f>IF(Movies[[#This Row],[currency]]="USD",Movies[[#This Row],[revenue(mln)]]*80,Movies[[#This Row],[revenue(mln)]])</f>
        <v>53600</v>
      </c>
      <c r="P6">
        <f>IF(Movies[[#This Row],[currency]]="INR",Movies[[#This Row],[budget mln]]/80,Movies[[#This Row],[budget mln]])</f>
        <v>250</v>
      </c>
      <c r="Q6">
        <f>IF(Movies[[#This Row],[currency]]="INR",Movies[[#This Row],[revenue(mln)]]/80,Movies[[#This Row],[revenue(mln)]])</f>
        <v>670</v>
      </c>
    </row>
    <row r="7" spans="1:17" x14ac:dyDescent="0.3">
      <c r="A7">
        <v>106</v>
      </c>
      <c r="B7" t="s">
        <v>121</v>
      </c>
      <c r="C7" t="s">
        <v>5</v>
      </c>
      <c r="D7">
        <v>1975</v>
      </c>
      <c r="E7">
        <v>8.1</v>
      </c>
      <c r="F7" t="s">
        <v>8</v>
      </c>
      <c r="G7">
        <v>1</v>
      </c>
      <c r="H7" t="str" cm="1">
        <f t="array" ref="H7">_xlfn.XLOOKUP(Movies[[#This Row],[movie_id]:[movie_id]],Financials[[#All],[movie_id]:[movie_id]],Financials[[#All],[budget]],"Not Available",0)</f>
        <v>Not Available</v>
      </c>
      <c r="I7" t="str" cm="1">
        <f t="array" ref="I7">_xlfn.XLOOKUP(Movies[[#This Row],[movie_id]:[movie_id]],Financials[[#All],[movie_id]:[movie_id]],Financials[[#All],[revenue]],"Not Available",0)</f>
        <v>Not Available</v>
      </c>
      <c r="J7" t="str" cm="1">
        <f t="array" ref="J7">_xlfn.XLOOKUP(Movies[[#This Row],[movie_id]:[movie_id]],Financials[[#All],[movie_id]:[movie_id]],Financials[[#All],[unit]],"Not Available",0)</f>
        <v>Not Available</v>
      </c>
      <c r="K7" t="str" cm="1">
        <f t="array" ref="K7">_xlfn.XLOOKUP(Movies[[#This Row],[movie_id]:[movie_id]],Financials[[#All],[movie_id]:[movie_id]],Financials[[#All],[currency]],"Not Available",0)</f>
        <v>Not Available</v>
      </c>
      <c r="L7" t="str">
        <f>IF(Movies[[#This Row],[unit]]="Billions",Movies[[#This Row],[budget]]*1000,Movies[[#This Row],[budget]])</f>
        <v>Not Available</v>
      </c>
      <c r="M7" t="str">
        <f>IF(Movies[[#This Row],[unit]]="Billions",Movies[[#This Row],[revenue]]*1000,Movies[[#This Row],[revenue]])</f>
        <v>Not Available</v>
      </c>
      <c r="N7" t="str">
        <f>IF(Movies[[#This Row],[currency]]="USD",Movies[[#This Row],[budget mln]]*80,Movies[[#This Row],[budget mln]])</f>
        <v>Not Available</v>
      </c>
      <c r="O7" t="str">
        <f>IF(Movies[[#This Row],[currency]]="USD",Movies[[#This Row],[revenue(mln)]]*80,Movies[[#This Row],[revenue(mln)]])</f>
        <v>Not Available</v>
      </c>
      <c r="P7" t="str">
        <f>IF(Movies[[#This Row],[currency]]="INR",Movies[[#This Row],[budget mln]]/80,Movies[[#This Row],[budget mln]])</f>
        <v>Not Available</v>
      </c>
      <c r="Q7" t="str">
        <f>IF(Movies[[#This Row],[currency]]="INR",Movies[[#This Row],[revenue(mln)]]/80,Movies[[#This Row],[revenue(mln)]])</f>
        <v>Not Available</v>
      </c>
    </row>
    <row r="8" spans="1:17" x14ac:dyDescent="0.3">
      <c r="A8">
        <v>107</v>
      </c>
      <c r="B8" t="s">
        <v>122</v>
      </c>
      <c r="C8" t="s">
        <v>5</v>
      </c>
      <c r="D8">
        <v>1995</v>
      </c>
      <c r="E8">
        <v>8</v>
      </c>
      <c r="F8" t="s">
        <v>9</v>
      </c>
      <c r="G8">
        <v>1</v>
      </c>
      <c r="H8" cm="1">
        <f t="array" ref="H8">_xlfn.XLOOKUP(Movies[[#This Row],[movie_id]:[movie_id]],Financials[[#All],[movie_id]:[movie_id]],Financials[[#All],[budget]],"Not Available",0)</f>
        <v>400</v>
      </c>
      <c r="I8" cm="1">
        <f t="array" ref="I8">_xlfn.XLOOKUP(Movies[[#This Row],[movie_id]:[movie_id]],Financials[[#All],[movie_id]:[movie_id]],Financials[[#All],[revenue]],"Not Available",0)</f>
        <v>2000</v>
      </c>
      <c r="J8" t="str" cm="1">
        <f t="array" ref="J8">_xlfn.XLOOKUP(Movies[[#This Row],[movie_id]:[movie_id]],Financials[[#All],[movie_id]:[movie_id]],Financials[[#All],[unit]],"Not Available",0)</f>
        <v>Millions</v>
      </c>
      <c r="K8" t="str" cm="1">
        <f t="array" ref="K8">_xlfn.XLOOKUP(Movies[[#This Row],[movie_id]:[movie_id]],Financials[[#All],[movie_id]:[movie_id]],Financials[[#All],[currency]],"Not Available",0)</f>
        <v>INR</v>
      </c>
      <c r="L8">
        <f>IF(Movies[[#This Row],[unit]]="Billions",Movies[[#This Row],[budget]]*1000,Movies[[#This Row],[budget]])</f>
        <v>400</v>
      </c>
      <c r="M8">
        <f>IF(Movies[[#This Row],[unit]]="Billions",Movies[[#This Row],[revenue]]*1000,Movies[[#This Row],[revenue]])</f>
        <v>2000</v>
      </c>
      <c r="N8">
        <f>IF(Movies[[#This Row],[currency]]="USD",Movies[[#This Row],[budget mln]]*80,Movies[[#This Row],[budget mln]])</f>
        <v>400</v>
      </c>
      <c r="O8">
        <f>IF(Movies[[#This Row],[currency]]="USD",Movies[[#This Row],[revenue(mln)]]*80,Movies[[#This Row],[revenue(mln)]])</f>
        <v>2000</v>
      </c>
      <c r="P8">
        <f>IF(Movies[[#This Row],[currency]]="INR",Movies[[#This Row],[budget mln]]/80,Movies[[#This Row],[budget mln]])</f>
        <v>5</v>
      </c>
      <c r="Q8">
        <f>IF(Movies[[#This Row],[currency]]="INR",Movies[[#This Row],[revenue(mln)]]/80,Movies[[#This Row],[revenue(mln)]])</f>
        <v>25</v>
      </c>
    </row>
    <row r="9" spans="1:17" x14ac:dyDescent="0.3">
      <c r="A9">
        <v>108</v>
      </c>
      <c r="B9" t="s">
        <v>123</v>
      </c>
      <c r="C9" t="s">
        <v>5</v>
      </c>
      <c r="D9">
        <v>2009</v>
      </c>
      <c r="E9">
        <v>8.4</v>
      </c>
      <c r="F9" t="s">
        <v>10</v>
      </c>
      <c r="G9">
        <v>1</v>
      </c>
      <c r="H9" cm="1">
        <f t="array" ref="H9">_xlfn.XLOOKUP(Movies[[#This Row],[movie_id]:[movie_id]],Financials[[#All],[movie_id]:[movie_id]],Financials[[#All],[budget]],"Not Available",0)</f>
        <v>550</v>
      </c>
      <c r="I9" cm="1">
        <f t="array" ref="I9">_xlfn.XLOOKUP(Movies[[#This Row],[movie_id]:[movie_id]],Financials[[#All],[movie_id]:[movie_id]],Financials[[#All],[revenue]],"Not Available",0)</f>
        <v>4000</v>
      </c>
      <c r="J9" t="str" cm="1">
        <f t="array" ref="J9">_xlfn.XLOOKUP(Movies[[#This Row],[movie_id]:[movie_id]],Financials[[#All],[movie_id]:[movie_id]],Financials[[#All],[unit]],"Not Available",0)</f>
        <v>Millions</v>
      </c>
      <c r="K9" t="str" cm="1">
        <f t="array" ref="K9">_xlfn.XLOOKUP(Movies[[#This Row],[movie_id]:[movie_id]],Financials[[#All],[movie_id]:[movie_id]],Financials[[#All],[currency]],"Not Available",0)</f>
        <v>INR</v>
      </c>
      <c r="L9">
        <f>IF(Movies[[#This Row],[unit]]="Billions",Movies[[#This Row],[budget]]*1000,Movies[[#This Row],[budget]])</f>
        <v>550</v>
      </c>
      <c r="M9">
        <f>IF(Movies[[#This Row],[unit]]="Billions",Movies[[#This Row],[revenue]]*1000,Movies[[#This Row],[revenue]])</f>
        <v>4000</v>
      </c>
      <c r="N9">
        <f>IF(Movies[[#This Row],[currency]]="USD",Movies[[#This Row],[budget mln]]*80,Movies[[#This Row],[budget mln]])</f>
        <v>550</v>
      </c>
      <c r="O9">
        <f>IF(Movies[[#This Row],[currency]]="USD",Movies[[#This Row],[revenue(mln)]]*80,Movies[[#This Row],[revenue(mln)]])</f>
        <v>4000</v>
      </c>
      <c r="P9">
        <f>IF(Movies[[#This Row],[currency]]="INR",Movies[[#This Row],[budget mln]]/80,Movies[[#This Row],[budget mln]])</f>
        <v>6.875</v>
      </c>
      <c r="Q9">
        <f>IF(Movies[[#This Row],[currency]]="INR",Movies[[#This Row],[revenue(mln)]]/80,Movies[[#This Row],[revenue(mln)]])</f>
        <v>50</v>
      </c>
    </row>
    <row r="10" spans="1:17" x14ac:dyDescent="0.3">
      <c r="A10">
        <v>109</v>
      </c>
      <c r="B10" t="s">
        <v>124</v>
      </c>
      <c r="C10" t="s">
        <v>5</v>
      </c>
      <c r="D10">
        <v>2001</v>
      </c>
      <c r="E10">
        <v>7.4</v>
      </c>
      <c r="F10" t="s">
        <v>11</v>
      </c>
      <c r="G10">
        <v>1</v>
      </c>
      <c r="H10" cm="1">
        <f t="array" ref="H10">_xlfn.XLOOKUP(Movies[[#This Row],[movie_id]:[movie_id]],Financials[[#All],[movie_id]:[movie_id]],Financials[[#All],[budget]],"Not Available",0)</f>
        <v>390</v>
      </c>
      <c r="I10" cm="1">
        <f t="array" ref="I10">_xlfn.XLOOKUP(Movies[[#This Row],[movie_id]:[movie_id]],Financials[[#All],[movie_id]:[movie_id]],Financials[[#All],[revenue]],"Not Available",0)</f>
        <v>1360</v>
      </c>
      <c r="J10" t="str" cm="1">
        <f t="array" ref="J10">_xlfn.XLOOKUP(Movies[[#This Row],[movie_id]:[movie_id]],Financials[[#All],[movie_id]:[movie_id]],Financials[[#All],[unit]],"Not Available",0)</f>
        <v>Millions</v>
      </c>
      <c r="K10" t="str" cm="1">
        <f t="array" ref="K10">_xlfn.XLOOKUP(Movies[[#This Row],[movie_id]:[movie_id]],Financials[[#All],[movie_id]:[movie_id]],Financials[[#All],[currency]],"Not Available",0)</f>
        <v>INR</v>
      </c>
      <c r="L10">
        <f>IF(Movies[[#This Row],[unit]]="Billions",Movies[[#This Row],[budget]]*1000,Movies[[#This Row],[budget]])</f>
        <v>390</v>
      </c>
      <c r="M10">
        <f>IF(Movies[[#This Row],[unit]]="Billions",Movies[[#This Row],[revenue]]*1000,Movies[[#This Row],[revenue]])</f>
        <v>1360</v>
      </c>
      <c r="N10">
        <f>IF(Movies[[#This Row],[currency]]="USD",Movies[[#This Row],[budget mln]]*80,Movies[[#This Row],[budget mln]])</f>
        <v>390</v>
      </c>
      <c r="O10">
        <f>IF(Movies[[#This Row],[currency]]="USD",Movies[[#This Row],[revenue(mln)]]*80,Movies[[#This Row],[revenue(mln)]])</f>
        <v>1360</v>
      </c>
      <c r="P10">
        <f>IF(Movies[[#This Row],[currency]]="INR",Movies[[#This Row],[budget mln]]/80,Movies[[#This Row],[budget mln]])</f>
        <v>4.875</v>
      </c>
      <c r="Q10">
        <f>IF(Movies[[#This Row],[currency]]="INR",Movies[[#This Row],[revenue(mln)]]/80,Movies[[#This Row],[revenue(mln)]])</f>
        <v>17</v>
      </c>
    </row>
    <row r="11" spans="1:17" x14ac:dyDescent="0.3">
      <c r="A11">
        <v>110</v>
      </c>
      <c r="B11" t="s">
        <v>125</v>
      </c>
      <c r="C11" t="s">
        <v>5</v>
      </c>
      <c r="D11">
        <v>2015</v>
      </c>
      <c r="E11">
        <v>7.2</v>
      </c>
      <c r="F11" t="s">
        <v>113</v>
      </c>
      <c r="G11">
        <v>1</v>
      </c>
      <c r="H11" cm="1">
        <f t="array" ref="H11">_xlfn.XLOOKUP(Movies[[#This Row],[movie_id]:[movie_id]],Financials[[#All],[movie_id]:[movie_id]],Financials[[#All],[budget]],"Not Available",0)</f>
        <v>1.4</v>
      </c>
      <c r="I11" cm="1">
        <f t="array" ref="I11">_xlfn.XLOOKUP(Movies[[#This Row],[movie_id]:[movie_id]],Financials[[#All],[movie_id]:[movie_id]],Financials[[#All],[revenue]],"Not Available",0)</f>
        <v>3.5</v>
      </c>
      <c r="J11" t="str" cm="1">
        <f t="array" ref="J11">_xlfn.XLOOKUP(Movies[[#This Row],[movie_id]:[movie_id]],Financials[[#All],[movie_id]:[movie_id]],Financials[[#All],[unit]],"Not Available",0)</f>
        <v>Billions</v>
      </c>
      <c r="K11" t="str" cm="1">
        <f t="array" ref="K11">_xlfn.XLOOKUP(Movies[[#This Row],[movie_id]:[movie_id]],Financials[[#All],[movie_id]:[movie_id]],Financials[[#All],[currency]],"Not Available",0)</f>
        <v>INR</v>
      </c>
      <c r="L11">
        <f>IF(Movies[[#This Row],[unit]]="Billions",Movies[[#This Row],[budget]]*1000,Movies[[#This Row],[budget]])</f>
        <v>1400</v>
      </c>
      <c r="M11">
        <f>IF(Movies[[#This Row],[unit]]="Billions",Movies[[#This Row],[revenue]]*1000,Movies[[#This Row],[revenue]])</f>
        <v>3500</v>
      </c>
      <c r="N11">
        <f>IF(Movies[[#This Row],[currency]]="USD",Movies[[#This Row],[budget mln]]*80,Movies[[#This Row],[budget mln]])</f>
        <v>1400</v>
      </c>
      <c r="O11">
        <f>IF(Movies[[#This Row],[currency]]="USD",Movies[[#This Row],[revenue(mln)]]*80,Movies[[#This Row],[revenue(mln)]])</f>
        <v>3500</v>
      </c>
      <c r="P11">
        <f>IF(Movies[[#This Row],[currency]]="INR",Movies[[#This Row],[budget mln]]/80,Movies[[#This Row],[budget mln]])</f>
        <v>17.5</v>
      </c>
      <c r="Q11">
        <f>IF(Movies[[#This Row],[currency]]="INR",Movies[[#This Row],[revenue(mln)]]/80,Movies[[#This Row],[revenue(mln)]])</f>
        <v>43.75</v>
      </c>
    </row>
    <row r="12" spans="1:17" x14ac:dyDescent="0.3">
      <c r="A12">
        <v>111</v>
      </c>
      <c r="B12" t="s">
        <v>126</v>
      </c>
      <c r="C12" t="s">
        <v>6</v>
      </c>
      <c r="D12">
        <v>1994</v>
      </c>
      <c r="E12">
        <v>9.3000000000000007</v>
      </c>
      <c r="F12" t="s">
        <v>12</v>
      </c>
      <c r="G12">
        <v>5</v>
      </c>
      <c r="H12" cm="1">
        <f t="array" ref="H12">_xlfn.XLOOKUP(Movies[[#This Row],[movie_id]:[movie_id]],Financials[[#All],[movie_id]:[movie_id]],Financials[[#All],[budget]],"Not Available",0)</f>
        <v>25</v>
      </c>
      <c r="I12" cm="1">
        <f t="array" ref="I12">_xlfn.XLOOKUP(Movies[[#This Row],[movie_id]:[movie_id]],Financials[[#All],[movie_id]:[movie_id]],Financials[[#All],[revenue]],"Not Available",0)</f>
        <v>73.3</v>
      </c>
      <c r="J12" t="str" cm="1">
        <f t="array" ref="J12">_xlfn.XLOOKUP(Movies[[#This Row],[movie_id]:[movie_id]],Financials[[#All],[movie_id]:[movie_id]],Financials[[#All],[unit]],"Not Available",0)</f>
        <v>Millions</v>
      </c>
      <c r="K12" t="str" cm="1">
        <f t="array" ref="K12">_xlfn.XLOOKUP(Movies[[#This Row],[movie_id]:[movie_id]],Financials[[#All],[movie_id]:[movie_id]],Financials[[#All],[currency]],"Not Available",0)</f>
        <v>USD</v>
      </c>
      <c r="L12">
        <f>IF(Movies[[#This Row],[unit]]="Billions",Movies[[#This Row],[budget]]*1000,Movies[[#This Row],[budget]])</f>
        <v>25</v>
      </c>
      <c r="M12">
        <f>IF(Movies[[#This Row],[unit]]="Billions",Movies[[#This Row],[revenue]]*1000,Movies[[#This Row],[revenue]])</f>
        <v>73.3</v>
      </c>
      <c r="N12">
        <f>IF(Movies[[#This Row],[currency]]="USD",Movies[[#This Row],[budget mln]]*80,Movies[[#This Row],[budget mln]])</f>
        <v>2000</v>
      </c>
      <c r="O12">
        <f>IF(Movies[[#This Row],[currency]]="USD",Movies[[#This Row],[revenue(mln)]]*80,Movies[[#This Row],[revenue(mln)]])</f>
        <v>5864</v>
      </c>
      <c r="P12">
        <f>IF(Movies[[#This Row],[currency]]="INR",Movies[[#This Row],[budget mln]]/80,Movies[[#This Row],[budget mln]])</f>
        <v>25</v>
      </c>
      <c r="Q12">
        <f>IF(Movies[[#This Row],[currency]]="INR",Movies[[#This Row],[revenue(mln)]]/80,Movies[[#This Row],[revenue(mln)]])</f>
        <v>73.3</v>
      </c>
    </row>
    <row r="13" spans="1:17" x14ac:dyDescent="0.3">
      <c r="A13">
        <v>112</v>
      </c>
      <c r="B13" t="s">
        <v>127</v>
      </c>
      <c r="C13" t="s">
        <v>6</v>
      </c>
      <c r="D13">
        <v>2010</v>
      </c>
      <c r="E13">
        <v>8.8000000000000007</v>
      </c>
      <c r="F13" t="s">
        <v>13</v>
      </c>
      <c r="G13">
        <v>5</v>
      </c>
      <c r="H13" t="str" cm="1">
        <f t="array" ref="H13">_xlfn.XLOOKUP(Movies[[#This Row],[movie_id]:[movie_id]],Financials[[#All],[movie_id]:[movie_id]],Financials[[#All],[budget]],"Not Available",0)</f>
        <v>Not Available</v>
      </c>
      <c r="I13" t="str" cm="1">
        <f t="array" ref="I13">_xlfn.XLOOKUP(Movies[[#This Row],[movie_id]:[movie_id]],Financials[[#All],[movie_id]:[movie_id]],Financials[[#All],[revenue]],"Not Available",0)</f>
        <v>Not Available</v>
      </c>
      <c r="J13" t="str" cm="1">
        <f t="array" ref="J13">_xlfn.XLOOKUP(Movies[[#This Row],[movie_id]:[movie_id]],Financials[[#All],[movie_id]:[movie_id]],Financials[[#All],[unit]],"Not Available",0)</f>
        <v>Not Available</v>
      </c>
      <c r="K13" t="str" cm="1">
        <f t="array" ref="K13">_xlfn.XLOOKUP(Movies[[#This Row],[movie_id]:[movie_id]],Financials[[#All],[movie_id]:[movie_id]],Financials[[#All],[currency]],"Not Available",0)</f>
        <v>Not Available</v>
      </c>
      <c r="L13" t="str">
        <f>IF(Movies[[#This Row],[unit]]="Billions",Movies[[#This Row],[budget]]*1000,Movies[[#This Row],[budget]])</f>
        <v>Not Available</v>
      </c>
      <c r="M13" t="str">
        <f>IF(Movies[[#This Row],[unit]]="Billions",Movies[[#This Row],[revenue]]*1000,Movies[[#This Row],[revenue]])</f>
        <v>Not Available</v>
      </c>
      <c r="N13" t="str">
        <f>IF(Movies[[#This Row],[currency]]="USD",Movies[[#This Row],[budget mln]]*80,Movies[[#This Row],[budget mln]])</f>
        <v>Not Available</v>
      </c>
      <c r="O13" t="str">
        <f>IF(Movies[[#This Row],[currency]]="USD",Movies[[#This Row],[revenue(mln)]]*80,Movies[[#This Row],[revenue(mln)]])</f>
        <v>Not Available</v>
      </c>
      <c r="P13" t="str">
        <f>IF(Movies[[#This Row],[currency]]="INR",Movies[[#This Row],[budget mln]]/80,Movies[[#This Row],[budget mln]])</f>
        <v>Not Available</v>
      </c>
      <c r="Q13" t="str">
        <f>IF(Movies[[#This Row],[currency]]="INR",Movies[[#This Row],[revenue(mln)]]/80,Movies[[#This Row],[revenue(mln)]])</f>
        <v>Not Available</v>
      </c>
    </row>
    <row r="14" spans="1:17" x14ac:dyDescent="0.3">
      <c r="A14">
        <v>113</v>
      </c>
      <c r="B14" t="s">
        <v>128</v>
      </c>
      <c r="C14" t="s">
        <v>6</v>
      </c>
      <c r="D14">
        <v>2014</v>
      </c>
      <c r="E14">
        <v>8.6</v>
      </c>
      <c r="F14" t="s">
        <v>13</v>
      </c>
      <c r="G14">
        <v>5</v>
      </c>
      <c r="H14" cm="1">
        <f t="array" ref="H14">_xlfn.XLOOKUP(Movies[[#This Row],[movie_id]:[movie_id]],Financials[[#All],[movie_id]:[movie_id]],Financials[[#All],[budget]],"Not Available",0)</f>
        <v>165</v>
      </c>
      <c r="I14" cm="1">
        <f t="array" ref="I14">_xlfn.XLOOKUP(Movies[[#This Row],[movie_id]:[movie_id]],Financials[[#All],[movie_id]:[movie_id]],Financials[[#All],[revenue]],"Not Available",0)</f>
        <v>701.8</v>
      </c>
      <c r="J14" t="str" cm="1">
        <f t="array" ref="J14">_xlfn.XLOOKUP(Movies[[#This Row],[movie_id]:[movie_id]],Financials[[#All],[movie_id]:[movie_id]],Financials[[#All],[unit]],"Not Available",0)</f>
        <v>Millions</v>
      </c>
      <c r="K14" t="str" cm="1">
        <f t="array" ref="K14">_xlfn.XLOOKUP(Movies[[#This Row],[movie_id]:[movie_id]],Financials[[#All],[movie_id]:[movie_id]],Financials[[#All],[currency]],"Not Available",0)</f>
        <v>USD</v>
      </c>
      <c r="L14">
        <f>IF(Movies[[#This Row],[unit]]="Billions",Movies[[#This Row],[budget]]*1000,Movies[[#This Row],[budget]])</f>
        <v>165</v>
      </c>
      <c r="M14">
        <f>IF(Movies[[#This Row],[unit]]="Billions",Movies[[#This Row],[revenue]]*1000,Movies[[#This Row],[revenue]])</f>
        <v>701.8</v>
      </c>
      <c r="N14">
        <f>IF(Movies[[#This Row],[currency]]="USD",Movies[[#This Row],[budget mln]]*80,Movies[[#This Row],[budget mln]])</f>
        <v>13200</v>
      </c>
      <c r="O14">
        <f>IF(Movies[[#This Row],[currency]]="USD",Movies[[#This Row],[revenue(mln)]]*80,Movies[[#This Row],[revenue(mln)]])</f>
        <v>56144</v>
      </c>
      <c r="P14">
        <f>IF(Movies[[#This Row],[currency]]="INR",Movies[[#This Row],[budget mln]]/80,Movies[[#This Row],[budget mln]])</f>
        <v>165</v>
      </c>
      <c r="Q14">
        <f>IF(Movies[[#This Row],[currency]]="INR",Movies[[#This Row],[revenue(mln)]]/80,Movies[[#This Row],[revenue(mln)]])</f>
        <v>701.8</v>
      </c>
    </row>
    <row r="15" spans="1:17" x14ac:dyDescent="0.3">
      <c r="A15">
        <v>115</v>
      </c>
      <c r="B15" t="s">
        <v>129</v>
      </c>
      <c r="C15" t="s">
        <v>6</v>
      </c>
      <c r="D15">
        <v>2006</v>
      </c>
      <c r="E15">
        <v>8</v>
      </c>
      <c r="F15" t="s">
        <v>14</v>
      </c>
      <c r="G15">
        <v>5</v>
      </c>
      <c r="H15" cm="1">
        <f t="array" ref="H15">_xlfn.XLOOKUP(Movies[[#This Row],[movie_id]:[movie_id]],Financials[[#All],[movie_id]:[movie_id]],Financials[[#All],[budget]],"Not Available",0)</f>
        <v>55</v>
      </c>
      <c r="I15" cm="1">
        <f t="array" ref="I15">_xlfn.XLOOKUP(Movies[[#This Row],[movie_id]:[movie_id]],Financials[[#All],[movie_id]:[movie_id]],Financials[[#All],[revenue]],"Not Available",0)</f>
        <v>307.10000000000002</v>
      </c>
      <c r="J15" t="str" cm="1">
        <f t="array" ref="J15">_xlfn.XLOOKUP(Movies[[#This Row],[movie_id]:[movie_id]],Financials[[#All],[movie_id]:[movie_id]],Financials[[#All],[unit]],"Not Available",0)</f>
        <v>Millions</v>
      </c>
      <c r="K15" t="str" cm="1">
        <f t="array" ref="K15">_xlfn.XLOOKUP(Movies[[#This Row],[movie_id]:[movie_id]],Financials[[#All],[movie_id]:[movie_id]],Financials[[#All],[currency]],"Not Available",0)</f>
        <v>USD</v>
      </c>
      <c r="L15">
        <f>IF(Movies[[#This Row],[unit]]="Billions",Movies[[#This Row],[budget]]*1000,Movies[[#This Row],[budget]])</f>
        <v>55</v>
      </c>
      <c r="M15">
        <f>IF(Movies[[#This Row],[unit]]="Billions",Movies[[#This Row],[revenue]]*1000,Movies[[#This Row],[revenue]])</f>
        <v>307.10000000000002</v>
      </c>
      <c r="N15">
        <f>IF(Movies[[#This Row],[currency]]="USD",Movies[[#This Row],[budget mln]]*80,Movies[[#This Row],[budget mln]])</f>
        <v>4400</v>
      </c>
      <c r="O15">
        <f>IF(Movies[[#This Row],[currency]]="USD",Movies[[#This Row],[revenue(mln)]]*80,Movies[[#This Row],[revenue(mln)]])</f>
        <v>24568</v>
      </c>
      <c r="P15">
        <f>IF(Movies[[#This Row],[currency]]="INR",Movies[[#This Row],[budget mln]]/80,Movies[[#This Row],[budget mln]])</f>
        <v>55</v>
      </c>
      <c r="Q15">
        <f>IF(Movies[[#This Row],[currency]]="INR",Movies[[#This Row],[revenue(mln)]]/80,Movies[[#This Row],[revenue(mln)]])</f>
        <v>307.10000000000002</v>
      </c>
    </row>
    <row r="16" spans="1:17" x14ac:dyDescent="0.3">
      <c r="A16">
        <v>116</v>
      </c>
      <c r="B16" t="s">
        <v>130</v>
      </c>
      <c r="C16" t="s">
        <v>6</v>
      </c>
      <c r="D16">
        <v>2000</v>
      </c>
      <c r="E16">
        <v>8.5</v>
      </c>
      <c r="F16" t="s">
        <v>19</v>
      </c>
      <c r="G16">
        <v>5</v>
      </c>
      <c r="H16" cm="1">
        <f t="array" ref="H16">_xlfn.XLOOKUP(Movies[[#This Row],[movie_id]:[movie_id]],Financials[[#All],[movie_id]:[movie_id]],Financials[[#All],[budget]],"Not Available",0)</f>
        <v>103</v>
      </c>
      <c r="I16" cm="1">
        <f t="array" ref="I16">_xlfn.XLOOKUP(Movies[[#This Row],[movie_id]:[movie_id]],Financials[[#All],[movie_id]:[movie_id]],Financials[[#All],[revenue]],"Not Available",0)</f>
        <v>460.5</v>
      </c>
      <c r="J16" t="str" cm="1">
        <f t="array" ref="J16">_xlfn.XLOOKUP(Movies[[#This Row],[movie_id]:[movie_id]],Financials[[#All],[movie_id]:[movie_id]],Financials[[#All],[unit]],"Not Available",0)</f>
        <v>Millions</v>
      </c>
      <c r="K16" t="str" cm="1">
        <f t="array" ref="K16">_xlfn.XLOOKUP(Movies[[#This Row],[movie_id]:[movie_id]],Financials[[#All],[movie_id]:[movie_id]],Financials[[#All],[currency]],"Not Available",0)</f>
        <v>USD</v>
      </c>
      <c r="L16">
        <f>IF(Movies[[#This Row],[unit]]="Billions",Movies[[#This Row],[budget]]*1000,Movies[[#This Row],[budget]])</f>
        <v>103</v>
      </c>
      <c r="M16">
        <f>IF(Movies[[#This Row],[unit]]="Billions",Movies[[#This Row],[revenue]]*1000,Movies[[#This Row],[revenue]])</f>
        <v>460.5</v>
      </c>
      <c r="N16">
        <f>IF(Movies[[#This Row],[currency]]="USD",Movies[[#This Row],[budget mln]]*80,Movies[[#This Row],[budget mln]])</f>
        <v>8240</v>
      </c>
      <c r="O16">
        <f>IF(Movies[[#This Row],[currency]]="USD",Movies[[#This Row],[revenue(mln)]]*80,Movies[[#This Row],[revenue(mln)]])</f>
        <v>36840</v>
      </c>
      <c r="P16">
        <f>IF(Movies[[#This Row],[currency]]="INR",Movies[[#This Row],[budget mln]]/80,Movies[[#This Row],[budget mln]])</f>
        <v>103</v>
      </c>
      <c r="Q16">
        <f>IF(Movies[[#This Row],[currency]]="INR",Movies[[#This Row],[revenue(mln)]]/80,Movies[[#This Row],[revenue(mln)]])</f>
        <v>460.5</v>
      </c>
    </row>
    <row r="17" spans="1:17" x14ac:dyDescent="0.3">
      <c r="A17">
        <v>117</v>
      </c>
      <c r="B17" t="s">
        <v>131</v>
      </c>
      <c r="C17" t="s">
        <v>6</v>
      </c>
      <c r="D17">
        <v>1997</v>
      </c>
      <c r="E17">
        <v>7.9</v>
      </c>
      <c r="F17" t="s">
        <v>15</v>
      </c>
      <c r="G17">
        <v>5</v>
      </c>
      <c r="H17" cm="1">
        <f t="array" ref="H17">_xlfn.XLOOKUP(Movies[[#This Row],[movie_id]:[movie_id]],Financials[[#All],[movie_id]:[movie_id]],Financials[[#All],[budget]],"Not Available",0)</f>
        <v>200</v>
      </c>
      <c r="I17" cm="1">
        <f t="array" ref="I17">_xlfn.XLOOKUP(Movies[[#This Row],[movie_id]:[movie_id]],Financials[[#All],[movie_id]:[movie_id]],Financials[[#All],[revenue]],"Not Available",0)</f>
        <v>2202</v>
      </c>
      <c r="J17" t="str" cm="1">
        <f t="array" ref="J17">_xlfn.XLOOKUP(Movies[[#This Row],[movie_id]:[movie_id]],Financials[[#All],[movie_id]:[movie_id]],Financials[[#All],[unit]],"Not Available",0)</f>
        <v>Millions</v>
      </c>
      <c r="K17" t="str" cm="1">
        <f t="array" ref="K17">_xlfn.XLOOKUP(Movies[[#This Row],[movie_id]:[movie_id]],Financials[[#All],[movie_id]:[movie_id]],Financials[[#All],[currency]],"Not Available",0)</f>
        <v>USD</v>
      </c>
      <c r="L17">
        <f>IF(Movies[[#This Row],[unit]]="Billions",Movies[[#This Row],[budget]]*1000,Movies[[#This Row],[budget]])</f>
        <v>200</v>
      </c>
      <c r="M17">
        <f>IF(Movies[[#This Row],[unit]]="Billions",Movies[[#This Row],[revenue]]*1000,Movies[[#This Row],[revenue]])</f>
        <v>2202</v>
      </c>
      <c r="N17">
        <f>IF(Movies[[#This Row],[currency]]="USD",Movies[[#This Row],[budget mln]]*80,Movies[[#This Row],[budget mln]])</f>
        <v>16000</v>
      </c>
      <c r="O17">
        <f>IF(Movies[[#This Row],[currency]]="USD",Movies[[#This Row],[revenue(mln)]]*80,Movies[[#This Row],[revenue(mln)]])</f>
        <v>176160</v>
      </c>
      <c r="P17">
        <f>IF(Movies[[#This Row],[currency]]="INR",Movies[[#This Row],[budget mln]]/80,Movies[[#This Row],[budget mln]])</f>
        <v>200</v>
      </c>
      <c r="Q17">
        <f>IF(Movies[[#This Row],[currency]]="INR",Movies[[#This Row],[revenue(mln)]]/80,Movies[[#This Row],[revenue(mln)]])</f>
        <v>2202</v>
      </c>
    </row>
    <row r="18" spans="1:17" x14ac:dyDescent="0.3">
      <c r="A18">
        <v>118</v>
      </c>
      <c r="B18" t="s">
        <v>132</v>
      </c>
      <c r="C18" t="s">
        <v>6</v>
      </c>
      <c r="D18">
        <v>1946</v>
      </c>
      <c r="E18">
        <v>8.6</v>
      </c>
      <c r="F18" t="s">
        <v>16</v>
      </c>
      <c r="G18">
        <v>5</v>
      </c>
      <c r="H18" cm="1">
        <f t="array" ref="H18">_xlfn.XLOOKUP(Movies[[#This Row],[movie_id]:[movie_id]],Financials[[#All],[movie_id]:[movie_id]],Financials[[#All],[budget]],"Not Available",0)</f>
        <v>3.18</v>
      </c>
      <c r="I18" cm="1">
        <f t="array" ref="I18">_xlfn.XLOOKUP(Movies[[#This Row],[movie_id]:[movie_id]],Financials[[#All],[movie_id]:[movie_id]],Financials[[#All],[revenue]],"Not Available",0)</f>
        <v>3.3</v>
      </c>
      <c r="J18" t="str" cm="1">
        <f t="array" ref="J18">_xlfn.XLOOKUP(Movies[[#This Row],[movie_id]:[movie_id]],Financials[[#All],[movie_id]:[movie_id]],Financials[[#All],[unit]],"Not Available",0)</f>
        <v>Millions</v>
      </c>
      <c r="K18" t="str" cm="1">
        <f t="array" ref="K18">_xlfn.XLOOKUP(Movies[[#This Row],[movie_id]:[movie_id]],Financials[[#All],[movie_id]:[movie_id]],Financials[[#All],[currency]],"Not Available",0)</f>
        <v>USD</v>
      </c>
      <c r="L18">
        <f>IF(Movies[[#This Row],[unit]]="Billions",Movies[[#This Row],[budget]]*1000,Movies[[#This Row],[budget]])</f>
        <v>3.18</v>
      </c>
      <c r="M18">
        <f>IF(Movies[[#This Row],[unit]]="Billions",Movies[[#This Row],[revenue]]*1000,Movies[[#This Row],[revenue]])</f>
        <v>3.3</v>
      </c>
      <c r="N18">
        <f>IF(Movies[[#This Row],[currency]]="USD",Movies[[#This Row],[budget mln]]*80,Movies[[#This Row],[budget mln]])</f>
        <v>254.4</v>
      </c>
      <c r="O18">
        <f>IF(Movies[[#This Row],[currency]]="USD",Movies[[#This Row],[revenue(mln)]]*80,Movies[[#This Row],[revenue(mln)]])</f>
        <v>264</v>
      </c>
      <c r="P18">
        <f>IF(Movies[[#This Row],[currency]]="INR",Movies[[#This Row],[budget mln]]/80,Movies[[#This Row],[budget mln]])</f>
        <v>3.18</v>
      </c>
      <c r="Q18">
        <f>IF(Movies[[#This Row],[currency]]="INR",Movies[[#This Row],[revenue(mln)]]/80,Movies[[#This Row],[revenue(mln)]])</f>
        <v>3.3</v>
      </c>
    </row>
    <row r="19" spans="1:17" x14ac:dyDescent="0.3">
      <c r="A19">
        <v>119</v>
      </c>
      <c r="B19" t="s">
        <v>133</v>
      </c>
      <c r="C19" t="s">
        <v>6</v>
      </c>
      <c r="D19">
        <v>2009</v>
      </c>
      <c r="E19">
        <v>7.8</v>
      </c>
      <c r="F19" t="s">
        <v>17</v>
      </c>
      <c r="G19">
        <v>5</v>
      </c>
      <c r="H19" cm="1">
        <f t="array" ref="H19">_xlfn.XLOOKUP(Movies[[#This Row],[movie_id]:[movie_id]],Financials[[#All],[movie_id]:[movie_id]],Financials[[#All],[budget]],"Not Available",0)</f>
        <v>237</v>
      </c>
      <c r="I19" cm="1">
        <f t="array" ref="I19">_xlfn.XLOOKUP(Movies[[#This Row],[movie_id]:[movie_id]],Financials[[#All],[movie_id]:[movie_id]],Financials[[#All],[revenue]],"Not Available",0)</f>
        <v>2847</v>
      </c>
      <c r="J19" t="str" cm="1">
        <f t="array" ref="J19">_xlfn.XLOOKUP(Movies[[#This Row],[movie_id]:[movie_id]],Financials[[#All],[movie_id]:[movie_id]],Financials[[#All],[unit]],"Not Available",0)</f>
        <v>Millions</v>
      </c>
      <c r="K19" t="str" cm="1">
        <f t="array" ref="K19">_xlfn.XLOOKUP(Movies[[#This Row],[movie_id]:[movie_id]],Financials[[#All],[movie_id]:[movie_id]],Financials[[#All],[currency]],"Not Available",0)</f>
        <v>USD</v>
      </c>
      <c r="L19">
        <f>IF(Movies[[#This Row],[unit]]="Billions",Movies[[#This Row],[budget]]*1000,Movies[[#This Row],[budget]])</f>
        <v>237</v>
      </c>
      <c r="M19">
        <f>IF(Movies[[#This Row],[unit]]="Billions",Movies[[#This Row],[revenue]]*1000,Movies[[#This Row],[revenue]])</f>
        <v>2847</v>
      </c>
      <c r="N19">
        <f>IF(Movies[[#This Row],[currency]]="USD",Movies[[#This Row],[budget mln]]*80,Movies[[#This Row],[budget mln]])</f>
        <v>18960</v>
      </c>
      <c r="O19">
        <f>IF(Movies[[#This Row],[currency]]="USD",Movies[[#This Row],[revenue(mln)]]*80,Movies[[#This Row],[revenue(mln)]])</f>
        <v>227760</v>
      </c>
      <c r="P19">
        <f>IF(Movies[[#This Row],[currency]]="INR",Movies[[#This Row],[budget mln]]/80,Movies[[#This Row],[budget mln]])</f>
        <v>237</v>
      </c>
      <c r="Q19">
        <f>IF(Movies[[#This Row],[currency]]="INR",Movies[[#This Row],[revenue(mln)]]/80,Movies[[#This Row],[revenue(mln)]])</f>
        <v>2847</v>
      </c>
    </row>
    <row r="20" spans="1:17" x14ac:dyDescent="0.3">
      <c r="A20">
        <v>120</v>
      </c>
      <c r="B20" t="s">
        <v>134</v>
      </c>
      <c r="C20" t="s">
        <v>6</v>
      </c>
      <c r="D20">
        <v>1972</v>
      </c>
      <c r="E20">
        <v>9.1999999999999993</v>
      </c>
      <c r="F20" t="s">
        <v>15</v>
      </c>
      <c r="G20">
        <v>5</v>
      </c>
      <c r="H20" cm="1">
        <f t="array" ref="H20">_xlfn.XLOOKUP(Movies[[#This Row],[movie_id]:[movie_id]],Financials[[#All],[movie_id]:[movie_id]],Financials[[#All],[budget]],"Not Available",0)</f>
        <v>7.2</v>
      </c>
      <c r="I20" cm="1">
        <f t="array" ref="I20">_xlfn.XLOOKUP(Movies[[#This Row],[movie_id]:[movie_id]],Financials[[#All],[movie_id]:[movie_id]],Financials[[#All],[revenue]],"Not Available",0)</f>
        <v>291</v>
      </c>
      <c r="J20" t="str" cm="1">
        <f t="array" ref="J20">_xlfn.XLOOKUP(Movies[[#This Row],[movie_id]:[movie_id]],Financials[[#All],[movie_id]:[movie_id]],Financials[[#All],[unit]],"Not Available",0)</f>
        <v>Millions</v>
      </c>
      <c r="K20" t="str" cm="1">
        <f t="array" ref="K20">_xlfn.XLOOKUP(Movies[[#This Row],[movie_id]:[movie_id]],Financials[[#All],[movie_id]:[movie_id]],Financials[[#All],[currency]],"Not Available",0)</f>
        <v>USD</v>
      </c>
      <c r="L20">
        <f>IF(Movies[[#This Row],[unit]]="Billions",Movies[[#This Row],[budget]]*1000,Movies[[#This Row],[budget]])</f>
        <v>7.2</v>
      </c>
      <c r="M20">
        <f>IF(Movies[[#This Row],[unit]]="Billions",Movies[[#This Row],[revenue]]*1000,Movies[[#This Row],[revenue]])</f>
        <v>291</v>
      </c>
      <c r="N20">
        <f>IF(Movies[[#This Row],[currency]]="USD",Movies[[#This Row],[budget mln]]*80,Movies[[#This Row],[budget mln]])</f>
        <v>576</v>
      </c>
      <c r="O20">
        <f>IF(Movies[[#This Row],[currency]]="USD",Movies[[#This Row],[revenue(mln)]]*80,Movies[[#This Row],[revenue(mln)]])</f>
        <v>23280</v>
      </c>
      <c r="P20">
        <f>IF(Movies[[#This Row],[currency]]="INR",Movies[[#This Row],[budget mln]]/80,Movies[[#This Row],[budget mln]])</f>
        <v>7.2</v>
      </c>
      <c r="Q20">
        <f>IF(Movies[[#This Row],[currency]]="INR",Movies[[#This Row],[revenue(mln)]]/80,Movies[[#This Row],[revenue(mln)]])</f>
        <v>291</v>
      </c>
    </row>
    <row r="21" spans="1:17" x14ac:dyDescent="0.3">
      <c r="A21">
        <v>121</v>
      </c>
      <c r="B21" t="s">
        <v>135</v>
      </c>
      <c r="C21" t="s">
        <v>6</v>
      </c>
      <c r="D21">
        <v>2008</v>
      </c>
      <c r="E21">
        <v>9</v>
      </c>
      <c r="F21" t="s">
        <v>18</v>
      </c>
      <c r="G21">
        <v>5</v>
      </c>
      <c r="H21" cm="1">
        <f t="array" ref="H21">_xlfn.XLOOKUP(Movies[[#This Row],[movie_id]:[movie_id]],Financials[[#All],[movie_id]:[movie_id]],Financials[[#All],[budget]],"Not Available",0)</f>
        <v>185</v>
      </c>
      <c r="I21" cm="1">
        <f t="array" ref="I21">_xlfn.XLOOKUP(Movies[[#This Row],[movie_id]:[movie_id]],Financials[[#All],[movie_id]:[movie_id]],Financials[[#All],[revenue]],"Not Available",0)</f>
        <v>1006</v>
      </c>
      <c r="J21" t="str" cm="1">
        <f t="array" ref="J21">_xlfn.XLOOKUP(Movies[[#This Row],[movie_id]:[movie_id]],Financials[[#All],[movie_id]:[movie_id]],Financials[[#All],[unit]],"Not Available",0)</f>
        <v>Millions</v>
      </c>
      <c r="K21" t="str" cm="1">
        <f t="array" ref="K21">_xlfn.XLOOKUP(Movies[[#This Row],[movie_id]:[movie_id]],Financials[[#All],[movie_id]:[movie_id]],Financials[[#All],[currency]],"Not Available",0)</f>
        <v>USD</v>
      </c>
      <c r="L21">
        <f>IF(Movies[[#This Row],[unit]]="Billions",Movies[[#This Row],[budget]]*1000,Movies[[#This Row],[budget]])</f>
        <v>185</v>
      </c>
      <c r="M21">
        <f>IF(Movies[[#This Row],[unit]]="Billions",Movies[[#This Row],[revenue]]*1000,Movies[[#This Row],[revenue]])</f>
        <v>1006</v>
      </c>
      <c r="N21">
        <f>IF(Movies[[#This Row],[currency]]="USD",Movies[[#This Row],[budget mln]]*80,Movies[[#This Row],[budget mln]])</f>
        <v>14800</v>
      </c>
      <c r="O21">
        <f>IF(Movies[[#This Row],[currency]]="USD",Movies[[#This Row],[revenue(mln)]]*80,Movies[[#This Row],[revenue(mln)]])</f>
        <v>80480</v>
      </c>
      <c r="P21">
        <f>IF(Movies[[#This Row],[currency]]="INR",Movies[[#This Row],[budget mln]]/80,Movies[[#This Row],[budget mln]])</f>
        <v>185</v>
      </c>
      <c r="Q21">
        <f>IF(Movies[[#This Row],[currency]]="INR",Movies[[#This Row],[revenue(mln)]]/80,Movies[[#This Row],[revenue(mln)]])</f>
        <v>1006</v>
      </c>
    </row>
    <row r="22" spans="1:17" x14ac:dyDescent="0.3">
      <c r="A22">
        <v>122</v>
      </c>
      <c r="B22" t="s">
        <v>136</v>
      </c>
      <c r="C22" t="s">
        <v>6</v>
      </c>
      <c r="D22">
        <v>1993</v>
      </c>
      <c r="E22">
        <v>9</v>
      </c>
      <c r="F22" t="s">
        <v>19</v>
      </c>
      <c r="G22">
        <v>5</v>
      </c>
      <c r="H22" cm="1">
        <f t="array" ref="H22">_xlfn.XLOOKUP(Movies[[#This Row],[movie_id]:[movie_id]],Financials[[#All],[movie_id]:[movie_id]],Financials[[#All],[budget]],"Not Available",0)</f>
        <v>22</v>
      </c>
      <c r="I22" cm="1">
        <f t="array" ref="I22">_xlfn.XLOOKUP(Movies[[#This Row],[movie_id]:[movie_id]],Financials[[#All],[movie_id]:[movie_id]],Financials[[#All],[revenue]],"Not Available",0)</f>
        <v>322.2</v>
      </c>
      <c r="J22" t="str" cm="1">
        <f t="array" ref="J22">_xlfn.XLOOKUP(Movies[[#This Row],[movie_id]:[movie_id]],Financials[[#All],[movie_id]:[movie_id]],Financials[[#All],[unit]],"Not Available",0)</f>
        <v>Millions</v>
      </c>
      <c r="K22" t="str" cm="1">
        <f t="array" ref="K22">_xlfn.XLOOKUP(Movies[[#This Row],[movie_id]:[movie_id]],Financials[[#All],[movie_id]:[movie_id]],Financials[[#All],[currency]],"Not Available",0)</f>
        <v>USD</v>
      </c>
      <c r="L22">
        <f>IF(Movies[[#This Row],[unit]]="Billions",Movies[[#This Row],[budget]]*1000,Movies[[#This Row],[budget]])</f>
        <v>22</v>
      </c>
      <c r="M22">
        <f>IF(Movies[[#This Row],[unit]]="Billions",Movies[[#This Row],[revenue]]*1000,Movies[[#This Row],[revenue]])</f>
        <v>322.2</v>
      </c>
      <c r="N22">
        <f>IF(Movies[[#This Row],[currency]]="USD",Movies[[#This Row],[budget mln]]*80,Movies[[#This Row],[budget mln]])</f>
        <v>1760</v>
      </c>
      <c r="O22">
        <f>IF(Movies[[#This Row],[currency]]="USD",Movies[[#This Row],[revenue(mln)]]*80,Movies[[#This Row],[revenue(mln)]])</f>
        <v>25776</v>
      </c>
      <c r="P22">
        <f>IF(Movies[[#This Row],[currency]]="INR",Movies[[#This Row],[budget mln]]/80,Movies[[#This Row],[budget mln]])</f>
        <v>22</v>
      </c>
      <c r="Q22">
        <f>IF(Movies[[#This Row],[currency]]="INR",Movies[[#This Row],[revenue(mln)]]/80,Movies[[#This Row],[revenue(mln)]])</f>
        <v>322.2</v>
      </c>
    </row>
    <row r="23" spans="1:17" x14ac:dyDescent="0.3">
      <c r="A23">
        <v>123</v>
      </c>
      <c r="B23" t="s">
        <v>137</v>
      </c>
      <c r="C23" t="s">
        <v>6</v>
      </c>
      <c r="D23">
        <v>1993</v>
      </c>
      <c r="E23">
        <v>8.1999999999999993</v>
      </c>
      <c r="F23" t="s">
        <v>19</v>
      </c>
      <c r="G23">
        <v>5</v>
      </c>
      <c r="H23" cm="1">
        <f t="array" ref="H23">_xlfn.XLOOKUP(Movies[[#This Row],[movie_id]:[movie_id]],Financials[[#All],[movie_id]:[movie_id]],Financials[[#All],[budget]],"Not Available",0)</f>
        <v>63</v>
      </c>
      <c r="I23" cm="1">
        <f t="array" ref="I23">_xlfn.XLOOKUP(Movies[[#This Row],[movie_id]:[movie_id]],Financials[[#All],[movie_id]:[movie_id]],Financials[[#All],[revenue]],"Not Available",0)</f>
        <v>1046</v>
      </c>
      <c r="J23" t="str" cm="1">
        <f t="array" ref="J23">_xlfn.XLOOKUP(Movies[[#This Row],[movie_id]:[movie_id]],Financials[[#All],[movie_id]:[movie_id]],Financials[[#All],[unit]],"Not Available",0)</f>
        <v>Millions</v>
      </c>
      <c r="K23" t="str" cm="1">
        <f t="array" ref="K23">_xlfn.XLOOKUP(Movies[[#This Row],[movie_id]:[movie_id]],Financials[[#All],[movie_id]:[movie_id]],Financials[[#All],[currency]],"Not Available",0)</f>
        <v>USD</v>
      </c>
      <c r="L23">
        <f>IF(Movies[[#This Row],[unit]]="Billions",Movies[[#This Row],[budget]]*1000,Movies[[#This Row],[budget]])</f>
        <v>63</v>
      </c>
      <c r="M23">
        <f>IF(Movies[[#This Row],[unit]]="Billions",Movies[[#This Row],[revenue]]*1000,Movies[[#This Row],[revenue]])</f>
        <v>1046</v>
      </c>
      <c r="N23">
        <f>IF(Movies[[#This Row],[currency]]="USD",Movies[[#This Row],[budget mln]]*80,Movies[[#This Row],[budget mln]])</f>
        <v>5040</v>
      </c>
      <c r="O23">
        <f>IF(Movies[[#This Row],[currency]]="USD",Movies[[#This Row],[revenue(mln)]]*80,Movies[[#This Row],[revenue(mln)]])</f>
        <v>83680</v>
      </c>
      <c r="P23">
        <f>IF(Movies[[#This Row],[currency]]="INR",Movies[[#This Row],[budget mln]]/80,Movies[[#This Row],[budget mln]])</f>
        <v>63</v>
      </c>
      <c r="Q23">
        <f>IF(Movies[[#This Row],[currency]]="INR",Movies[[#This Row],[revenue(mln)]]/80,Movies[[#This Row],[revenue(mln)]])</f>
        <v>1046</v>
      </c>
    </row>
    <row r="24" spans="1:17" x14ac:dyDescent="0.3">
      <c r="A24">
        <v>124</v>
      </c>
      <c r="B24" t="s">
        <v>138</v>
      </c>
      <c r="C24" t="s">
        <v>6</v>
      </c>
      <c r="D24">
        <v>2019</v>
      </c>
      <c r="E24">
        <v>8.5</v>
      </c>
      <c r="F24" t="s">
        <v>113</v>
      </c>
      <c r="G24">
        <v>5</v>
      </c>
      <c r="H24" cm="1">
        <f t="array" ref="H24">_xlfn.XLOOKUP(Movies[[#This Row],[movie_id]:[movie_id]],Financials[[#All],[movie_id]:[movie_id]],Financials[[#All],[budget]],"Not Available",0)</f>
        <v>15.5</v>
      </c>
      <c r="I24" cm="1">
        <f t="array" ref="I24">_xlfn.XLOOKUP(Movies[[#This Row],[movie_id]:[movie_id]],Financials[[#All],[movie_id]:[movie_id]],Financials[[#All],[revenue]],"Not Available",0)</f>
        <v>263.10000000000002</v>
      </c>
      <c r="J24" t="str" cm="1">
        <f t="array" ref="J24">_xlfn.XLOOKUP(Movies[[#This Row],[movie_id]:[movie_id]],Financials[[#All],[movie_id]:[movie_id]],Financials[[#All],[unit]],"Not Available",0)</f>
        <v>Millions</v>
      </c>
      <c r="K24" t="str" cm="1">
        <f t="array" ref="K24">_xlfn.XLOOKUP(Movies[[#This Row],[movie_id]:[movie_id]],Financials[[#All],[movie_id]:[movie_id]],Financials[[#All],[currency]],"Not Available",0)</f>
        <v>USD</v>
      </c>
      <c r="L24">
        <f>IF(Movies[[#This Row],[unit]]="Billions",Movies[[#This Row],[budget]]*1000,Movies[[#This Row],[budget]])</f>
        <v>15.5</v>
      </c>
      <c r="M24">
        <f>IF(Movies[[#This Row],[unit]]="Billions",Movies[[#This Row],[revenue]]*1000,Movies[[#This Row],[revenue]])</f>
        <v>263.10000000000002</v>
      </c>
      <c r="N24">
        <f>IF(Movies[[#This Row],[currency]]="USD",Movies[[#This Row],[budget mln]]*80,Movies[[#This Row],[budget mln]])</f>
        <v>1240</v>
      </c>
      <c r="O24">
        <f>IF(Movies[[#This Row],[currency]]="USD",Movies[[#This Row],[revenue(mln)]]*80,Movies[[#This Row],[revenue(mln)]])</f>
        <v>21048</v>
      </c>
      <c r="P24">
        <f>IF(Movies[[#This Row],[currency]]="INR",Movies[[#This Row],[budget mln]]/80,Movies[[#This Row],[budget mln]])</f>
        <v>15.5</v>
      </c>
      <c r="Q24">
        <f>IF(Movies[[#This Row],[currency]]="INR",Movies[[#This Row],[revenue(mln)]]/80,Movies[[#This Row],[revenue(mln)]])</f>
        <v>263.10000000000002</v>
      </c>
    </row>
    <row r="25" spans="1:17" x14ac:dyDescent="0.3">
      <c r="A25">
        <v>125</v>
      </c>
      <c r="B25" t="s">
        <v>139</v>
      </c>
      <c r="C25" t="s">
        <v>6</v>
      </c>
      <c r="D25">
        <v>2019</v>
      </c>
      <c r="E25">
        <v>8.4</v>
      </c>
      <c r="F25" t="s">
        <v>7</v>
      </c>
      <c r="G25">
        <v>5</v>
      </c>
      <c r="H25" cm="1">
        <f t="array" ref="H25">_xlfn.XLOOKUP(Movies[[#This Row],[movie_id]:[movie_id]],Financials[[#All],[movie_id]:[movie_id]],Financials[[#All],[budget]],"Not Available",0)</f>
        <v>400</v>
      </c>
      <c r="I25" cm="1">
        <f t="array" ref="I25">_xlfn.XLOOKUP(Movies[[#This Row],[movie_id]:[movie_id]],Financials[[#All],[movie_id]:[movie_id]],Financials[[#All],[revenue]],"Not Available",0)</f>
        <v>2798</v>
      </c>
      <c r="J25" t="str" cm="1">
        <f t="array" ref="J25">_xlfn.XLOOKUP(Movies[[#This Row],[movie_id]:[movie_id]],Financials[[#All],[movie_id]:[movie_id]],Financials[[#All],[unit]],"Not Available",0)</f>
        <v>Millions</v>
      </c>
      <c r="K25" t="str" cm="1">
        <f t="array" ref="K25">_xlfn.XLOOKUP(Movies[[#This Row],[movie_id]:[movie_id]],Financials[[#All],[movie_id]:[movie_id]],Financials[[#All],[currency]],"Not Available",0)</f>
        <v>USD</v>
      </c>
      <c r="L25">
        <f>IF(Movies[[#This Row],[unit]]="Billions",Movies[[#This Row],[budget]]*1000,Movies[[#This Row],[budget]])</f>
        <v>400</v>
      </c>
      <c r="M25">
        <f>IF(Movies[[#This Row],[unit]]="Billions",Movies[[#This Row],[revenue]]*1000,Movies[[#This Row],[revenue]])</f>
        <v>2798</v>
      </c>
      <c r="N25">
        <f>IF(Movies[[#This Row],[currency]]="USD",Movies[[#This Row],[budget mln]]*80,Movies[[#This Row],[budget mln]])</f>
        <v>32000</v>
      </c>
      <c r="O25">
        <f>IF(Movies[[#This Row],[currency]]="USD",Movies[[#This Row],[revenue(mln)]]*80,Movies[[#This Row],[revenue(mln)]])</f>
        <v>223840</v>
      </c>
      <c r="P25">
        <f>IF(Movies[[#This Row],[currency]]="INR",Movies[[#This Row],[budget mln]]/80,Movies[[#This Row],[budget mln]])</f>
        <v>400</v>
      </c>
      <c r="Q25">
        <f>IF(Movies[[#This Row],[currency]]="INR",Movies[[#This Row],[revenue(mln)]]/80,Movies[[#This Row],[revenue(mln)]])</f>
        <v>2798</v>
      </c>
    </row>
    <row r="26" spans="1:17" x14ac:dyDescent="0.3">
      <c r="A26">
        <v>126</v>
      </c>
      <c r="B26" t="s">
        <v>140</v>
      </c>
      <c r="C26" t="s">
        <v>6</v>
      </c>
      <c r="D26">
        <v>2018</v>
      </c>
      <c r="E26">
        <v>8.4</v>
      </c>
      <c r="F26" t="s">
        <v>7</v>
      </c>
      <c r="G26">
        <v>5</v>
      </c>
      <c r="H26" cm="1">
        <f t="array" ref="H26">_xlfn.XLOOKUP(Movies[[#This Row],[movie_id]:[movie_id]],Financials[[#All],[movie_id]:[movie_id]],Financials[[#All],[budget]],"Not Available",0)</f>
        <v>400</v>
      </c>
      <c r="I26" cm="1">
        <f t="array" ref="I26">_xlfn.XLOOKUP(Movies[[#This Row],[movie_id]:[movie_id]],Financials[[#All],[movie_id]:[movie_id]],Financials[[#All],[revenue]],"Not Available",0)</f>
        <v>2048</v>
      </c>
      <c r="J26" t="str" cm="1">
        <f t="array" ref="J26">_xlfn.XLOOKUP(Movies[[#This Row],[movie_id]:[movie_id]],Financials[[#All],[movie_id]:[movie_id]],Financials[[#All],[unit]],"Not Available",0)</f>
        <v>Millions</v>
      </c>
      <c r="K26" t="str" cm="1">
        <f t="array" ref="K26">_xlfn.XLOOKUP(Movies[[#This Row],[movie_id]:[movie_id]],Financials[[#All],[movie_id]:[movie_id]],Financials[[#All],[currency]],"Not Available",0)</f>
        <v>USD</v>
      </c>
      <c r="L26">
        <f>IF(Movies[[#This Row],[unit]]="Billions",Movies[[#This Row],[budget]]*1000,Movies[[#This Row],[budget]])</f>
        <v>400</v>
      </c>
      <c r="M26">
        <f>IF(Movies[[#This Row],[unit]]="Billions",Movies[[#This Row],[revenue]]*1000,Movies[[#This Row],[revenue]])</f>
        <v>2048</v>
      </c>
      <c r="N26">
        <f>IF(Movies[[#This Row],[currency]]="USD",Movies[[#This Row],[budget mln]]*80,Movies[[#This Row],[budget mln]])</f>
        <v>32000</v>
      </c>
      <c r="O26">
        <f>IF(Movies[[#This Row],[currency]]="USD",Movies[[#This Row],[revenue(mln)]]*80,Movies[[#This Row],[revenue(mln)]])</f>
        <v>163840</v>
      </c>
      <c r="P26">
        <f>IF(Movies[[#This Row],[currency]]="INR",Movies[[#This Row],[budget mln]]/80,Movies[[#This Row],[budget mln]])</f>
        <v>400</v>
      </c>
      <c r="Q26">
        <f>IF(Movies[[#This Row],[currency]]="INR",Movies[[#This Row],[revenue(mln)]]/80,Movies[[#This Row],[revenue(mln)]])</f>
        <v>2048</v>
      </c>
    </row>
    <row r="27" spans="1:17" x14ac:dyDescent="0.3">
      <c r="A27">
        <v>127</v>
      </c>
      <c r="B27" t="s">
        <v>141</v>
      </c>
      <c r="C27" t="s">
        <v>5</v>
      </c>
      <c r="D27">
        <v>1955</v>
      </c>
      <c r="E27">
        <v>8.3000000000000007</v>
      </c>
      <c r="F27" t="s">
        <v>115</v>
      </c>
      <c r="G27">
        <v>7</v>
      </c>
      <c r="H27" cm="1">
        <f t="array" ref="H27">_xlfn.XLOOKUP(Movies[[#This Row],[movie_id]:[movie_id]],Financials[[#All],[movie_id]:[movie_id]],Financials[[#All],[budget]],"Not Available",0)</f>
        <v>70</v>
      </c>
      <c r="I27" cm="1">
        <f t="array" ref="I27">_xlfn.XLOOKUP(Movies[[#This Row],[movie_id]:[movie_id]],Financials[[#All],[movie_id]:[movie_id]],Financials[[#All],[revenue]],"Not Available",0)</f>
        <v>100</v>
      </c>
      <c r="J27" t="str" cm="1">
        <f t="array" ref="J27">_xlfn.XLOOKUP(Movies[[#This Row],[movie_id]:[movie_id]],Financials[[#All],[movie_id]:[movie_id]],Financials[[#All],[unit]],"Not Available",0)</f>
        <v>Millions</v>
      </c>
      <c r="K27" t="str" cm="1">
        <f t="array" ref="K27">_xlfn.XLOOKUP(Movies[[#This Row],[movie_id]:[movie_id]],Financials[[#All],[movie_id]:[movie_id]],Financials[[#All],[currency]],"Not Available",0)</f>
        <v>INR</v>
      </c>
      <c r="L27">
        <f>IF(Movies[[#This Row],[unit]]="Billions",Movies[[#This Row],[budget]]*1000,Movies[[#This Row],[budget]])</f>
        <v>70</v>
      </c>
      <c r="M27">
        <f>IF(Movies[[#This Row],[unit]]="Billions",Movies[[#This Row],[revenue]]*1000,Movies[[#This Row],[revenue]])</f>
        <v>100</v>
      </c>
      <c r="N27">
        <f>IF(Movies[[#This Row],[currency]]="USD",Movies[[#This Row],[budget mln]]*80,Movies[[#This Row],[budget mln]])</f>
        <v>70</v>
      </c>
      <c r="O27">
        <f>IF(Movies[[#This Row],[currency]]="USD",Movies[[#This Row],[revenue(mln)]]*80,Movies[[#This Row],[revenue(mln)]])</f>
        <v>100</v>
      </c>
      <c r="P27">
        <f>IF(Movies[[#This Row],[currency]]="INR",Movies[[#This Row],[budget mln]]/80,Movies[[#This Row],[budget mln]])</f>
        <v>0.875</v>
      </c>
      <c r="Q27">
        <f>IF(Movies[[#This Row],[currency]]="INR",Movies[[#This Row],[revenue(mln)]]/80,Movies[[#This Row],[revenue(mln)]])</f>
        <v>1.25</v>
      </c>
    </row>
    <row r="28" spans="1:17" x14ac:dyDescent="0.3">
      <c r="A28">
        <v>128</v>
      </c>
      <c r="B28" t="s">
        <v>142</v>
      </c>
      <c r="C28" t="s">
        <v>5</v>
      </c>
      <c r="D28">
        <v>2007</v>
      </c>
      <c r="E28">
        <v>8.3000000000000007</v>
      </c>
      <c r="F28" t="s">
        <v>113</v>
      </c>
      <c r="G28">
        <v>1</v>
      </c>
      <c r="H28" cm="1">
        <f t="array" ref="H28">_xlfn.XLOOKUP(Movies[[#This Row],[movie_id]:[movie_id]],Financials[[#All],[movie_id]:[movie_id]],Financials[[#All],[budget]],"Not Available",0)</f>
        <v>120</v>
      </c>
      <c r="I28" cm="1">
        <f t="array" ref="I28">_xlfn.XLOOKUP(Movies[[#This Row],[movie_id]:[movie_id]],Financials[[#All],[movie_id]:[movie_id]],Financials[[#All],[revenue]],"Not Available",0)</f>
        <v>1350</v>
      </c>
      <c r="J28" t="str" cm="1">
        <f t="array" ref="J28">_xlfn.XLOOKUP(Movies[[#This Row],[movie_id]:[movie_id]],Financials[[#All],[movie_id]:[movie_id]],Financials[[#All],[unit]],"Not Available",0)</f>
        <v>Millions</v>
      </c>
      <c r="K28" t="str" cm="1">
        <f t="array" ref="K28">_xlfn.XLOOKUP(Movies[[#This Row],[movie_id]:[movie_id]],Financials[[#All],[movie_id]:[movie_id]],Financials[[#All],[currency]],"Not Available",0)</f>
        <v>INR</v>
      </c>
      <c r="L28">
        <f>IF(Movies[[#This Row],[unit]]="Billions",Movies[[#This Row],[budget]]*1000,Movies[[#This Row],[budget]])</f>
        <v>120</v>
      </c>
      <c r="M28">
        <f>IF(Movies[[#This Row],[unit]]="Billions",Movies[[#This Row],[revenue]]*1000,Movies[[#This Row],[revenue]])</f>
        <v>1350</v>
      </c>
      <c r="N28">
        <f>IF(Movies[[#This Row],[currency]]="USD",Movies[[#This Row],[budget mln]]*80,Movies[[#This Row],[budget mln]])</f>
        <v>120</v>
      </c>
      <c r="O28">
        <f>IF(Movies[[#This Row],[currency]]="USD",Movies[[#This Row],[revenue(mln)]]*80,Movies[[#This Row],[revenue(mln)]])</f>
        <v>1350</v>
      </c>
      <c r="P28">
        <f>IF(Movies[[#This Row],[currency]]="INR",Movies[[#This Row],[budget mln]]/80,Movies[[#This Row],[budget mln]])</f>
        <v>1.5</v>
      </c>
      <c r="Q28">
        <f>IF(Movies[[#This Row],[currency]]="INR",Movies[[#This Row],[revenue(mln)]]/80,Movies[[#This Row],[revenue(mln)]])</f>
        <v>16.875</v>
      </c>
    </row>
    <row r="29" spans="1:17" x14ac:dyDescent="0.3">
      <c r="A29">
        <v>129</v>
      </c>
      <c r="B29" t="s">
        <v>143</v>
      </c>
      <c r="C29" t="s">
        <v>5</v>
      </c>
      <c r="D29">
        <v>2003</v>
      </c>
      <c r="E29">
        <v>8.1</v>
      </c>
      <c r="F29" t="s">
        <v>20</v>
      </c>
      <c r="G29">
        <v>1</v>
      </c>
      <c r="H29" cm="1">
        <f t="array" ref="H29">_xlfn.XLOOKUP(Movies[[#This Row],[movie_id]:[movie_id]],Financials[[#All],[movie_id]:[movie_id]],Financials[[#All],[budget]],"Not Available",0)</f>
        <v>100</v>
      </c>
      <c r="I29" cm="1">
        <f t="array" ref="I29">_xlfn.XLOOKUP(Movies[[#This Row],[movie_id]:[movie_id]],Financials[[#All],[movie_id]:[movie_id]],Financials[[#All],[revenue]],"Not Available",0)</f>
        <v>410</v>
      </c>
      <c r="J29" t="str" cm="1">
        <f t="array" ref="J29">_xlfn.XLOOKUP(Movies[[#This Row],[movie_id]:[movie_id]],Financials[[#All],[movie_id]:[movie_id]],Financials[[#All],[unit]],"Not Available",0)</f>
        <v>Millions</v>
      </c>
      <c r="K29" t="str" cm="1">
        <f t="array" ref="K29">_xlfn.XLOOKUP(Movies[[#This Row],[movie_id]:[movie_id]],Financials[[#All],[movie_id]:[movie_id]],Financials[[#All],[currency]],"Not Available",0)</f>
        <v>INR</v>
      </c>
      <c r="L29">
        <f>IF(Movies[[#This Row],[unit]]="Billions",Movies[[#This Row],[budget]]*1000,Movies[[#This Row],[budget]])</f>
        <v>100</v>
      </c>
      <c r="M29">
        <f>IF(Movies[[#This Row],[unit]]="Billions",Movies[[#This Row],[revenue]]*1000,Movies[[#This Row],[revenue]])</f>
        <v>410</v>
      </c>
      <c r="N29">
        <f>IF(Movies[[#This Row],[currency]]="USD",Movies[[#This Row],[budget mln]]*80,Movies[[#This Row],[budget mln]])</f>
        <v>100</v>
      </c>
      <c r="O29">
        <f>IF(Movies[[#This Row],[currency]]="USD",Movies[[#This Row],[revenue(mln)]]*80,Movies[[#This Row],[revenue(mln)]])</f>
        <v>410</v>
      </c>
      <c r="P29">
        <f>IF(Movies[[#This Row],[currency]]="INR",Movies[[#This Row],[budget mln]]/80,Movies[[#This Row],[budget mln]])</f>
        <v>1.25</v>
      </c>
      <c r="Q29">
        <f>IF(Movies[[#This Row],[currency]]="INR",Movies[[#This Row],[revenue(mln)]]/80,Movies[[#This Row],[revenue(mln)]])</f>
        <v>5.125</v>
      </c>
    </row>
    <row r="30" spans="1:17" x14ac:dyDescent="0.3">
      <c r="A30">
        <v>130</v>
      </c>
      <c r="B30" t="s">
        <v>144</v>
      </c>
      <c r="C30" t="s">
        <v>5</v>
      </c>
      <c r="D30">
        <v>2014</v>
      </c>
      <c r="E30">
        <v>8.1</v>
      </c>
      <c r="F30" t="s">
        <v>10</v>
      </c>
      <c r="G30">
        <v>1</v>
      </c>
      <c r="H30" cm="1">
        <f t="array" ref="H30">_xlfn.XLOOKUP(Movies[[#This Row],[movie_id]:[movie_id]],Financials[[#All],[movie_id]:[movie_id]],Financials[[#All],[budget]],"Not Available",0)</f>
        <v>850</v>
      </c>
      <c r="I30" cm="1">
        <f t="array" ref="I30">_xlfn.XLOOKUP(Movies[[#This Row],[movie_id]:[movie_id]],Financials[[#All],[movie_id]:[movie_id]],Financials[[#All],[revenue]],"Not Available",0)</f>
        <v>8540</v>
      </c>
      <c r="J30" t="str" cm="1">
        <f t="array" ref="J30">_xlfn.XLOOKUP(Movies[[#This Row],[movie_id]:[movie_id]],Financials[[#All],[movie_id]:[movie_id]],Financials[[#All],[unit]],"Not Available",0)</f>
        <v>Millions</v>
      </c>
      <c r="K30" t="str" cm="1">
        <f t="array" ref="K30">_xlfn.XLOOKUP(Movies[[#This Row],[movie_id]:[movie_id]],Financials[[#All],[movie_id]:[movie_id]],Financials[[#All],[currency]],"Not Available",0)</f>
        <v>INR</v>
      </c>
      <c r="L30">
        <f>IF(Movies[[#This Row],[unit]]="Billions",Movies[[#This Row],[budget]]*1000,Movies[[#This Row],[budget]])</f>
        <v>850</v>
      </c>
      <c r="M30">
        <f>IF(Movies[[#This Row],[unit]]="Billions",Movies[[#This Row],[revenue]]*1000,Movies[[#This Row],[revenue]])</f>
        <v>8540</v>
      </c>
      <c r="N30">
        <f>IF(Movies[[#This Row],[currency]]="USD",Movies[[#This Row],[budget mln]]*80,Movies[[#This Row],[budget mln]])</f>
        <v>850</v>
      </c>
      <c r="O30">
        <f>IF(Movies[[#This Row],[currency]]="USD",Movies[[#This Row],[revenue(mln)]]*80,Movies[[#This Row],[revenue(mln)]])</f>
        <v>8540</v>
      </c>
      <c r="P30">
        <f>IF(Movies[[#This Row],[currency]]="INR",Movies[[#This Row],[budget mln]]/80,Movies[[#This Row],[budget mln]])</f>
        <v>10.625</v>
      </c>
      <c r="Q30">
        <f>IF(Movies[[#This Row],[currency]]="INR",Movies[[#This Row],[revenue(mln)]]/80,Movies[[#This Row],[revenue(mln)]])</f>
        <v>106.75</v>
      </c>
    </row>
    <row r="31" spans="1:17" x14ac:dyDescent="0.3">
      <c r="A31">
        <v>131</v>
      </c>
      <c r="B31" t="s">
        <v>145</v>
      </c>
      <c r="C31" t="s">
        <v>5</v>
      </c>
      <c r="D31">
        <v>2018</v>
      </c>
      <c r="E31" t="s">
        <v>112</v>
      </c>
      <c r="F31" t="s">
        <v>10</v>
      </c>
      <c r="G31">
        <v>1</v>
      </c>
      <c r="H31" cm="1">
        <f t="array" ref="H31">_xlfn.XLOOKUP(Movies[[#This Row],[movie_id]:[movie_id]],Financials[[#All],[movie_id]:[movie_id]],Financials[[#All],[budget]],"Not Available",0)</f>
        <v>1</v>
      </c>
      <c r="I31" cm="1">
        <f t="array" ref="I31">_xlfn.XLOOKUP(Movies[[#This Row],[movie_id]:[movie_id]],Financials[[#All],[movie_id]:[movie_id]],Financials[[#All],[revenue]],"Not Available",0)</f>
        <v>5.9</v>
      </c>
      <c r="J31" t="str" cm="1">
        <f t="array" ref="J31">_xlfn.XLOOKUP(Movies[[#This Row],[movie_id]:[movie_id]],Financials[[#All],[movie_id]:[movie_id]],Financials[[#All],[unit]],"Not Available",0)</f>
        <v>Billions</v>
      </c>
      <c r="K31" t="str" cm="1">
        <f t="array" ref="K31">_xlfn.XLOOKUP(Movies[[#This Row],[movie_id]:[movie_id]],Financials[[#All],[movie_id]:[movie_id]],Financials[[#All],[currency]],"Not Available",0)</f>
        <v>INR</v>
      </c>
      <c r="L31">
        <f>IF(Movies[[#This Row],[unit]]="Billions",Movies[[#This Row],[budget]]*1000,Movies[[#This Row],[budget]])</f>
        <v>1000</v>
      </c>
      <c r="M31">
        <f>IF(Movies[[#This Row],[unit]]="Billions",Movies[[#This Row],[revenue]]*1000,Movies[[#This Row],[revenue]])</f>
        <v>5900</v>
      </c>
      <c r="N31">
        <f>IF(Movies[[#This Row],[currency]]="USD",Movies[[#This Row],[budget mln]]*80,Movies[[#This Row],[budget mln]])</f>
        <v>1000</v>
      </c>
      <c r="O31">
        <f>IF(Movies[[#This Row],[currency]]="USD",Movies[[#This Row],[revenue(mln)]]*80,Movies[[#This Row],[revenue(mln)]])</f>
        <v>5900</v>
      </c>
      <c r="P31">
        <f>IF(Movies[[#This Row],[currency]]="INR",Movies[[#This Row],[budget mln]]/80,Movies[[#This Row],[budget mln]])</f>
        <v>12.5</v>
      </c>
      <c r="Q31">
        <f>IF(Movies[[#This Row],[currency]]="INR",Movies[[#This Row],[revenue(mln)]]/80,Movies[[#This Row],[revenue(mln)]])</f>
        <v>73.75</v>
      </c>
    </row>
    <row r="32" spans="1:17" x14ac:dyDescent="0.3">
      <c r="A32">
        <v>132</v>
      </c>
      <c r="B32" t="s">
        <v>146</v>
      </c>
      <c r="C32" t="s">
        <v>5</v>
      </c>
      <c r="D32">
        <v>2021</v>
      </c>
      <c r="E32">
        <v>7.6</v>
      </c>
      <c r="F32" t="s">
        <v>21</v>
      </c>
      <c r="G32">
        <v>2</v>
      </c>
      <c r="H32" cm="1">
        <f t="array" ref="H32">_xlfn.XLOOKUP(Movies[[#This Row],[movie_id]:[movie_id]],Financials[[#All],[movie_id]:[movie_id]],Financials[[#All],[budget]],"Not Available",0)</f>
        <v>2</v>
      </c>
      <c r="I32" cm="1">
        <f t="array" ref="I32">_xlfn.XLOOKUP(Movies[[#This Row],[movie_id]:[movie_id]],Financials[[#All],[movie_id]:[movie_id]],Financials[[#All],[revenue]],"Not Available",0)</f>
        <v>3.6</v>
      </c>
      <c r="J32" t="str" cm="1">
        <f t="array" ref="J32">_xlfn.XLOOKUP(Movies[[#This Row],[movie_id]:[movie_id]],Financials[[#All],[movie_id]:[movie_id]],Financials[[#All],[unit]],"Not Available",0)</f>
        <v>Billions</v>
      </c>
      <c r="K32" t="str" cm="1">
        <f t="array" ref="K32">_xlfn.XLOOKUP(Movies[[#This Row],[movie_id]:[movie_id]],Financials[[#All],[movie_id]:[movie_id]],Financials[[#All],[currency]],"Not Available",0)</f>
        <v>INR</v>
      </c>
      <c r="L32">
        <f>IF(Movies[[#This Row],[unit]]="Billions",Movies[[#This Row],[budget]]*1000,Movies[[#This Row],[budget]])</f>
        <v>2000</v>
      </c>
      <c r="M32">
        <f>IF(Movies[[#This Row],[unit]]="Billions",Movies[[#This Row],[revenue]]*1000,Movies[[#This Row],[revenue]])</f>
        <v>3600</v>
      </c>
      <c r="N32">
        <f>IF(Movies[[#This Row],[currency]]="USD",Movies[[#This Row],[budget mln]]*80,Movies[[#This Row],[budget mln]])</f>
        <v>2000</v>
      </c>
      <c r="O32">
        <f>IF(Movies[[#This Row],[currency]]="USD",Movies[[#This Row],[revenue(mln)]]*80,Movies[[#This Row],[revenue(mln)]])</f>
        <v>3600</v>
      </c>
      <c r="P32">
        <f>IF(Movies[[#This Row],[currency]]="INR",Movies[[#This Row],[budget mln]]/80,Movies[[#This Row],[budget mln]])</f>
        <v>25</v>
      </c>
      <c r="Q32">
        <f>IF(Movies[[#This Row],[currency]]="INR",Movies[[#This Row],[revenue(mln)]]/80,Movies[[#This Row],[revenue(mln)]])</f>
        <v>45</v>
      </c>
    </row>
    <row r="33" spans="1:17" x14ac:dyDescent="0.3">
      <c r="A33">
        <v>133</v>
      </c>
      <c r="B33" t="s">
        <v>147</v>
      </c>
      <c r="C33" t="s">
        <v>5</v>
      </c>
      <c r="D33">
        <v>2022</v>
      </c>
      <c r="E33">
        <v>8</v>
      </c>
      <c r="F33" t="s">
        <v>22</v>
      </c>
      <c r="G33">
        <v>2</v>
      </c>
      <c r="H33" cm="1">
        <f t="array" ref="H33">_xlfn.XLOOKUP(Movies[[#This Row],[movie_id]:[movie_id]],Financials[[#All],[movie_id]:[movie_id]],Financials[[#All],[budget]],"Not Available",0)</f>
        <v>5.5</v>
      </c>
      <c r="I33" cm="1">
        <f t="array" ref="I33">_xlfn.XLOOKUP(Movies[[#This Row],[movie_id]:[movie_id]],Financials[[#All],[movie_id]:[movie_id]],Financials[[#All],[revenue]],"Not Available",0)</f>
        <v>12</v>
      </c>
      <c r="J33" t="str" cm="1">
        <f t="array" ref="J33">_xlfn.XLOOKUP(Movies[[#This Row],[movie_id]:[movie_id]],Financials[[#All],[movie_id]:[movie_id]],Financials[[#All],[unit]],"Not Available",0)</f>
        <v>Billions</v>
      </c>
      <c r="K33" t="str" cm="1">
        <f t="array" ref="K33">_xlfn.XLOOKUP(Movies[[#This Row],[movie_id]:[movie_id]],Financials[[#All],[movie_id]:[movie_id]],Financials[[#All],[currency]],"Not Available",0)</f>
        <v>INR</v>
      </c>
      <c r="L33">
        <f>IF(Movies[[#This Row],[unit]]="Billions",Movies[[#This Row],[budget]]*1000,Movies[[#This Row],[budget]])</f>
        <v>5500</v>
      </c>
      <c r="M33">
        <f>IF(Movies[[#This Row],[unit]]="Billions",Movies[[#This Row],[revenue]]*1000,Movies[[#This Row],[revenue]])</f>
        <v>12000</v>
      </c>
      <c r="N33">
        <f>IF(Movies[[#This Row],[currency]]="USD",Movies[[#This Row],[budget mln]]*80,Movies[[#This Row],[budget mln]])</f>
        <v>5500</v>
      </c>
      <c r="O33">
        <f>IF(Movies[[#This Row],[currency]]="USD",Movies[[#This Row],[revenue(mln)]]*80,Movies[[#This Row],[revenue(mln)]])</f>
        <v>12000</v>
      </c>
      <c r="P33">
        <f>IF(Movies[[#This Row],[currency]]="INR",Movies[[#This Row],[budget mln]]/80,Movies[[#This Row],[budget mln]])</f>
        <v>68.75</v>
      </c>
      <c r="Q33">
        <f>IF(Movies[[#This Row],[currency]]="INR",Movies[[#This Row],[revenue(mln)]]/80,Movies[[#This Row],[revenue(mln)]])</f>
        <v>150</v>
      </c>
    </row>
    <row r="34" spans="1:17" x14ac:dyDescent="0.3">
      <c r="A34">
        <v>134</v>
      </c>
      <c r="B34" t="s">
        <v>148</v>
      </c>
      <c r="C34" t="s">
        <v>5</v>
      </c>
      <c r="D34">
        <v>2015</v>
      </c>
      <c r="E34">
        <v>8</v>
      </c>
      <c r="F34" t="s">
        <v>23</v>
      </c>
      <c r="G34">
        <v>2</v>
      </c>
      <c r="H34" cm="1">
        <f t="array" ref="H34">_xlfn.XLOOKUP(Movies[[#This Row],[movie_id]:[movie_id]],Financials[[#All],[movie_id]:[movie_id]],Financials[[#All],[budget]],"Not Available",0)</f>
        <v>1.8</v>
      </c>
      <c r="I34" cm="1">
        <f t="array" ref="I34">_xlfn.XLOOKUP(Movies[[#This Row],[movie_id]:[movie_id]],Financials[[#All],[movie_id]:[movie_id]],Financials[[#All],[revenue]],"Not Available",0)</f>
        <v>6.5</v>
      </c>
      <c r="J34" t="str" cm="1">
        <f t="array" ref="J34">_xlfn.XLOOKUP(Movies[[#This Row],[movie_id]:[movie_id]],Financials[[#All],[movie_id]:[movie_id]],Financials[[#All],[unit]],"Not Available",0)</f>
        <v>Billions</v>
      </c>
      <c r="K34" t="str" cm="1">
        <f t="array" ref="K34">_xlfn.XLOOKUP(Movies[[#This Row],[movie_id]:[movie_id]],Financials[[#All],[movie_id]:[movie_id]],Financials[[#All],[currency]],"Not Available",0)</f>
        <v>INR</v>
      </c>
      <c r="L34">
        <f>IF(Movies[[#This Row],[unit]]="Billions",Movies[[#This Row],[budget]]*1000,Movies[[#This Row],[budget]])</f>
        <v>1800</v>
      </c>
      <c r="M34">
        <f>IF(Movies[[#This Row],[unit]]="Billions",Movies[[#This Row],[revenue]]*1000,Movies[[#This Row],[revenue]])</f>
        <v>6500</v>
      </c>
      <c r="N34">
        <f>IF(Movies[[#This Row],[currency]]="USD",Movies[[#This Row],[budget mln]]*80,Movies[[#This Row],[budget mln]])</f>
        <v>1800</v>
      </c>
      <c r="O34">
        <f>IF(Movies[[#This Row],[currency]]="USD",Movies[[#This Row],[revenue(mln)]]*80,Movies[[#This Row],[revenue(mln)]])</f>
        <v>6500</v>
      </c>
      <c r="P34">
        <f>IF(Movies[[#This Row],[currency]]="INR",Movies[[#This Row],[budget mln]]/80,Movies[[#This Row],[budget mln]])</f>
        <v>22.5</v>
      </c>
      <c r="Q34">
        <f>IF(Movies[[#This Row],[currency]]="INR",Movies[[#This Row],[revenue(mln)]]/80,Movies[[#This Row],[revenue(mln)]])</f>
        <v>81.25</v>
      </c>
    </row>
    <row r="35" spans="1:17" x14ac:dyDescent="0.3">
      <c r="A35">
        <v>135</v>
      </c>
      <c r="B35" t="s">
        <v>149</v>
      </c>
      <c r="C35" t="s">
        <v>5</v>
      </c>
      <c r="D35">
        <v>2022</v>
      </c>
      <c r="E35">
        <v>8.3000000000000007</v>
      </c>
      <c r="F35" t="s">
        <v>24</v>
      </c>
      <c r="G35">
        <v>1</v>
      </c>
      <c r="H35" cm="1">
        <f t="array" ref="H35">_xlfn.XLOOKUP(Movies[[#This Row],[movie_id]:[movie_id]],Financials[[#All],[movie_id]:[movie_id]],Financials[[#All],[budget]],"Not Available",0)</f>
        <v>250</v>
      </c>
      <c r="I35" cm="1">
        <f t="array" ref="I35">_xlfn.XLOOKUP(Movies[[#This Row],[movie_id]:[movie_id]],Financials[[#All],[movie_id]:[movie_id]],Financials[[#All],[revenue]],"Not Available",0)</f>
        <v>3409</v>
      </c>
      <c r="J35" t="str" cm="1">
        <f t="array" ref="J35">_xlfn.XLOOKUP(Movies[[#This Row],[movie_id]:[movie_id]],Financials[[#All],[movie_id]:[movie_id]],Financials[[#All],[unit]],"Not Available",0)</f>
        <v>Millions</v>
      </c>
      <c r="K35" t="str" cm="1">
        <f t="array" ref="K35">_xlfn.XLOOKUP(Movies[[#This Row],[movie_id]:[movie_id]],Financials[[#All],[movie_id]:[movie_id]],Financials[[#All],[currency]],"Not Available",0)</f>
        <v>INR</v>
      </c>
      <c r="L35">
        <f>IF(Movies[[#This Row],[unit]]="Billions",Movies[[#This Row],[budget]]*1000,Movies[[#This Row],[budget]])</f>
        <v>250</v>
      </c>
      <c r="M35">
        <f>IF(Movies[[#This Row],[unit]]="Billions",Movies[[#This Row],[revenue]]*1000,Movies[[#This Row],[revenue]])</f>
        <v>3409</v>
      </c>
      <c r="N35">
        <f>IF(Movies[[#This Row],[currency]]="USD",Movies[[#This Row],[budget mln]]*80,Movies[[#This Row],[budget mln]])</f>
        <v>250</v>
      </c>
      <c r="O35">
        <f>IF(Movies[[#This Row],[currency]]="USD",Movies[[#This Row],[revenue(mln)]]*80,Movies[[#This Row],[revenue(mln)]])</f>
        <v>3409</v>
      </c>
      <c r="P35">
        <f>IF(Movies[[#This Row],[currency]]="INR",Movies[[#This Row],[budget mln]]/80,Movies[[#This Row],[budget mln]])</f>
        <v>3.125</v>
      </c>
      <c r="Q35">
        <f>IF(Movies[[#This Row],[currency]]="INR",Movies[[#This Row],[revenue(mln)]]/80,Movies[[#This Row],[revenue(mln)]])</f>
        <v>42.612499999999997</v>
      </c>
    </row>
    <row r="36" spans="1:17" x14ac:dyDescent="0.3">
      <c r="A36">
        <v>136</v>
      </c>
      <c r="B36" t="s">
        <v>150</v>
      </c>
      <c r="C36" t="s">
        <v>5</v>
      </c>
      <c r="D36">
        <v>2015</v>
      </c>
      <c r="E36">
        <v>8.1</v>
      </c>
      <c r="F36" t="s">
        <v>25</v>
      </c>
      <c r="G36">
        <v>1</v>
      </c>
      <c r="H36" cm="1">
        <f t="array" ref="H36">_xlfn.XLOOKUP(Movies[[#This Row],[movie_id]:[movie_id]],Financials[[#All],[movie_id]:[movie_id]],Financials[[#All],[budget]],"Not Available",0)</f>
        <v>900</v>
      </c>
      <c r="I36" cm="1">
        <f t="array" ref="I36">_xlfn.XLOOKUP(Movies[[#This Row],[movie_id]:[movie_id]],Financials[[#All],[movie_id]:[movie_id]],Financials[[#All],[revenue]],"Not Available",0)</f>
        <v>11690</v>
      </c>
      <c r="J36" t="str" cm="1">
        <f t="array" ref="J36">_xlfn.XLOOKUP(Movies[[#This Row],[movie_id]:[movie_id]],Financials[[#All],[movie_id]:[movie_id]],Financials[[#All],[unit]],"Not Available",0)</f>
        <v>Millions</v>
      </c>
      <c r="K36" t="str" cm="1">
        <f t="array" ref="K36">_xlfn.XLOOKUP(Movies[[#This Row],[movie_id]:[movie_id]],Financials[[#All],[movie_id]:[movie_id]],Financials[[#All],[currency]],"Not Available",0)</f>
        <v>INR</v>
      </c>
      <c r="L36">
        <f>IF(Movies[[#This Row],[unit]]="Billions",Movies[[#This Row],[budget]]*1000,Movies[[#This Row],[budget]])</f>
        <v>900</v>
      </c>
      <c r="M36">
        <f>IF(Movies[[#This Row],[unit]]="Billions",Movies[[#This Row],[revenue]]*1000,Movies[[#This Row],[revenue]])</f>
        <v>11690</v>
      </c>
      <c r="N36">
        <f>IF(Movies[[#This Row],[currency]]="USD",Movies[[#This Row],[budget mln]]*80,Movies[[#This Row],[budget mln]])</f>
        <v>900</v>
      </c>
      <c r="O36">
        <f>IF(Movies[[#This Row],[currency]]="USD",Movies[[#This Row],[revenue(mln)]]*80,Movies[[#This Row],[revenue(mln)]])</f>
        <v>11690</v>
      </c>
      <c r="P36">
        <f>IF(Movies[[#This Row],[currency]]="INR",Movies[[#This Row],[budget mln]]/80,Movies[[#This Row],[budget mln]])</f>
        <v>11.25</v>
      </c>
      <c r="Q36">
        <f>IF(Movies[[#This Row],[currency]]="INR",Movies[[#This Row],[revenue(mln)]]/80,Movies[[#This Row],[revenue(mln)]])</f>
        <v>146.125</v>
      </c>
    </row>
    <row r="37" spans="1:17" x14ac:dyDescent="0.3">
      <c r="A37">
        <v>137</v>
      </c>
      <c r="B37" t="s">
        <v>151</v>
      </c>
      <c r="C37" t="s">
        <v>6</v>
      </c>
      <c r="D37">
        <v>2011</v>
      </c>
      <c r="E37">
        <v>6.9</v>
      </c>
      <c r="F37" t="s">
        <v>7</v>
      </c>
      <c r="G37">
        <v>5</v>
      </c>
      <c r="H37" cm="1">
        <f t="array" ref="H37">_xlfn.XLOOKUP(Movies[[#This Row],[movie_id]:[movie_id]],Financials[[#All],[movie_id]:[movie_id]],Financials[[#All],[budget]],"Not Available",0)</f>
        <v>216.7</v>
      </c>
      <c r="I37" cm="1">
        <f t="array" ref="I37">_xlfn.XLOOKUP(Movies[[#This Row],[movie_id]:[movie_id]],Financials[[#All],[movie_id]:[movie_id]],Financials[[#All],[revenue]],"Not Available",0)</f>
        <v>370.6</v>
      </c>
      <c r="J37" t="str" cm="1">
        <f t="array" ref="J37">_xlfn.XLOOKUP(Movies[[#This Row],[movie_id]:[movie_id]],Financials[[#All],[movie_id]:[movie_id]],Financials[[#All],[unit]],"Not Available",0)</f>
        <v>Millions</v>
      </c>
      <c r="K37" t="str" cm="1">
        <f t="array" ref="K37">_xlfn.XLOOKUP(Movies[[#This Row],[movie_id]:[movie_id]],Financials[[#All],[movie_id]:[movie_id]],Financials[[#All],[currency]],"Not Available",0)</f>
        <v>USD</v>
      </c>
      <c r="L37">
        <f>IF(Movies[[#This Row],[unit]]="Billions",Movies[[#This Row],[budget]]*1000,Movies[[#This Row],[budget]])</f>
        <v>216.7</v>
      </c>
      <c r="M37">
        <f>IF(Movies[[#This Row],[unit]]="Billions",Movies[[#This Row],[revenue]]*1000,Movies[[#This Row],[revenue]])</f>
        <v>370.6</v>
      </c>
      <c r="N37">
        <f>IF(Movies[[#This Row],[currency]]="USD",Movies[[#This Row],[budget mln]]*80,Movies[[#This Row],[budget mln]])</f>
        <v>17336</v>
      </c>
      <c r="O37">
        <f>IF(Movies[[#This Row],[currency]]="USD",Movies[[#This Row],[revenue(mln)]]*80,Movies[[#This Row],[revenue(mln)]])</f>
        <v>29648</v>
      </c>
      <c r="P37">
        <f>IF(Movies[[#This Row],[currency]]="INR",Movies[[#This Row],[budget mln]]/80,Movies[[#This Row],[budget mln]])</f>
        <v>216.7</v>
      </c>
      <c r="Q37">
        <f>IF(Movies[[#This Row],[currency]]="INR",Movies[[#This Row],[revenue(mln)]]/80,Movies[[#This Row],[revenue(mln)]])</f>
        <v>370.6</v>
      </c>
    </row>
    <row r="38" spans="1:17" x14ac:dyDescent="0.3">
      <c r="A38">
        <v>138</v>
      </c>
      <c r="B38" t="s">
        <v>152</v>
      </c>
      <c r="C38" t="s">
        <v>6</v>
      </c>
      <c r="D38">
        <v>2014</v>
      </c>
      <c r="E38">
        <v>7.8</v>
      </c>
      <c r="F38" t="s">
        <v>7</v>
      </c>
      <c r="G38">
        <v>5</v>
      </c>
      <c r="H38" cm="1">
        <f t="array" ref="H38">_xlfn.XLOOKUP(Movies[[#This Row],[movie_id]:[movie_id]],Financials[[#All],[movie_id]:[movie_id]],Financials[[#All],[budget]],"Not Available",0)</f>
        <v>177</v>
      </c>
      <c r="I38" cm="1">
        <f t="array" ref="I38">_xlfn.XLOOKUP(Movies[[#This Row],[movie_id]:[movie_id]],Financials[[#All],[movie_id]:[movie_id]],Financials[[#All],[revenue]],"Not Available",0)</f>
        <v>714.4</v>
      </c>
      <c r="J38" t="str" cm="1">
        <f t="array" ref="J38">_xlfn.XLOOKUP(Movies[[#This Row],[movie_id]:[movie_id]],Financials[[#All],[movie_id]:[movie_id]],Financials[[#All],[unit]],"Not Available",0)</f>
        <v>Millions</v>
      </c>
      <c r="K38" t="str" cm="1">
        <f t="array" ref="K38">_xlfn.XLOOKUP(Movies[[#This Row],[movie_id]:[movie_id]],Financials[[#All],[movie_id]:[movie_id]],Financials[[#All],[currency]],"Not Available",0)</f>
        <v>USD</v>
      </c>
      <c r="L38">
        <f>IF(Movies[[#This Row],[unit]]="Billions",Movies[[#This Row],[budget]]*1000,Movies[[#This Row],[budget]])</f>
        <v>177</v>
      </c>
      <c r="M38">
        <f>IF(Movies[[#This Row],[unit]]="Billions",Movies[[#This Row],[revenue]]*1000,Movies[[#This Row],[revenue]])</f>
        <v>714.4</v>
      </c>
      <c r="N38">
        <f>IF(Movies[[#This Row],[currency]]="USD",Movies[[#This Row],[budget mln]]*80,Movies[[#This Row],[budget mln]])</f>
        <v>14160</v>
      </c>
      <c r="O38">
        <f>IF(Movies[[#This Row],[currency]]="USD",Movies[[#This Row],[revenue(mln)]]*80,Movies[[#This Row],[revenue(mln)]])</f>
        <v>57152</v>
      </c>
      <c r="P38">
        <f>IF(Movies[[#This Row],[currency]]="INR",Movies[[#This Row],[budget mln]]/80,Movies[[#This Row],[budget mln]])</f>
        <v>177</v>
      </c>
      <c r="Q38">
        <f>IF(Movies[[#This Row],[currency]]="INR",Movies[[#This Row],[revenue(mln)]]/80,Movies[[#This Row],[revenue(mln)]])</f>
        <v>714.4</v>
      </c>
    </row>
    <row r="39" spans="1:17" x14ac:dyDescent="0.3">
      <c r="A39">
        <v>139</v>
      </c>
      <c r="B39" t="s">
        <v>153</v>
      </c>
      <c r="C39" t="s">
        <v>5</v>
      </c>
      <c r="D39">
        <v>2018</v>
      </c>
      <c r="E39">
        <v>1.9</v>
      </c>
      <c r="F39" t="s">
        <v>25</v>
      </c>
      <c r="G39">
        <v>1</v>
      </c>
      <c r="H39" cm="1">
        <f t="array" ref="H39">_xlfn.XLOOKUP(Movies[[#This Row],[movie_id]:[movie_id]],Financials[[#All],[movie_id]:[movie_id]],Financials[[#All],[budget]],"Not Available",0)</f>
        <v>1.8</v>
      </c>
      <c r="I39" cm="1">
        <f t="array" ref="I39">_xlfn.XLOOKUP(Movies[[#This Row],[movie_id]:[movie_id]],Financials[[#All],[movie_id]:[movie_id]],Financials[[#All],[revenue]],"Not Available",0)</f>
        <v>3.1</v>
      </c>
      <c r="J39" t="str" cm="1">
        <f t="array" ref="J39">_xlfn.XLOOKUP(Movies[[#This Row],[movie_id]:[movie_id]],Financials[[#All],[movie_id]:[movie_id]],Financials[[#All],[unit]],"Not Available",0)</f>
        <v>Billions</v>
      </c>
      <c r="K39" t="str" cm="1">
        <f t="array" ref="K39">_xlfn.XLOOKUP(Movies[[#This Row],[movie_id]:[movie_id]],Financials[[#All],[movie_id]:[movie_id]],Financials[[#All],[currency]],"Not Available",0)</f>
        <v>INR</v>
      </c>
      <c r="L39">
        <f>IF(Movies[[#This Row],[unit]]="Billions",Movies[[#This Row],[budget]]*1000,Movies[[#This Row],[budget]])</f>
        <v>1800</v>
      </c>
      <c r="M39">
        <f>IF(Movies[[#This Row],[unit]]="Billions",Movies[[#This Row],[revenue]]*1000,Movies[[#This Row],[revenue]])</f>
        <v>3100</v>
      </c>
      <c r="N39">
        <f>IF(Movies[[#This Row],[currency]]="USD",Movies[[#This Row],[budget mln]]*80,Movies[[#This Row],[budget mln]])</f>
        <v>1800</v>
      </c>
      <c r="O39">
        <f>IF(Movies[[#This Row],[currency]]="USD",Movies[[#This Row],[revenue(mln)]]*80,Movies[[#This Row],[revenue(mln)]])</f>
        <v>3100</v>
      </c>
      <c r="P39">
        <f>IF(Movies[[#This Row],[currency]]="INR",Movies[[#This Row],[budget mln]]/80,Movies[[#This Row],[budget mln]])</f>
        <v>22.5</v>
      </c>
      <c r="Q39">
        <f>IF(Movies[[#This Row],[currency]]="INR",Movies[[#This Row],[revenue(mln)]]/80,Movies[[#This Row],[revenue(mln)]])</f>
        <v>38.75</v>
      </c>
    </row>
    <row r="40" spans="1:17" x14ac:dyDescent="0.3">
      <c r="A40">
        <v>140</v>
      </c>
      <c r="B40" t="s">
        <v>154</v>
      </c>
      <c r="C40" t="s">
        <v>5</v>
      </c>
      <c r="D40">
        <v>2021</v>
      </c>
      <c r="E40">
        <v>8.4</v>
      </c>
      <c r="F40" t="s">
        <v>11</v>
      </c>
      <c r="G40">
        <v>1</v>
      </c>
      <c r="H40" cm="1">
        <f t="array" ref="H40">_xlfn.XLOOKUP(Movies[[#This Row],[movie_id]:[movie_id]],Financials[[#All],[movie_id]:[movie_id]],Financials[[#All],[budget]],"Not Available",0)</f>
        <v>500</v>
      </c>
      <c r="I40" cm="1">
        <f t="array" ref="I40">_xlfn.XLOOKUP(Movies[[#This Row],[movie_id]:[movie_id]],Financials[[#All],[movie_id]:[movie_id]],Financials[[#All],[revenue]],"Not Available",0)</f>
        <v>950</v>
      </c>
      <c r="J40" t="str" cm="1">
        <f t="array" ref="J40">_xlfn.XLOOKUP(Movies[[#This Row],[movie_id]:[movie_id]],Financials[[#All],[movie_id]:[movie_id]],Financials[[#All],[unit]],"Not Available",0)</f>
        <v>Millions</v>
      </c>
      <c r="K40" t="str" cm="1">
        <f t="array" ref="K40">_xlfn.XLOOKUP(Movies[[#This Row],[movie_id]:[movie_id]],Financials[[#All],[movie_id]:[movie_id]],Financials[[#All],[currency]],"Not Available",0)</f>
        <v>INR</v>
      </c>
      <c r="L40">
        <f>IF(Movies[[#This Row],[unit]]="Billions",Movies[[#This Row],[budget]]*1000,Movies[[#This Row],[budget]])</f>
        <v>500</v>
      </c>
      <c r="M40">
        <f>IF(Movies[[#This Row],[unit]]="Billions",Movies[[#This Row],[revenue]]*1000,Movies[[#This Row],[revenue]])</f>
        <v>950</v>
      </c>
      <c r="N40">
        <f>IF(Movies[[#This Row],[currency]]="USD",Movies[[#This Row],[budget mln]]*80,Movies[[#This Row],[budget mln]])</f>
        <v>500</v>
      </c>
      <c r="O40">
        <f>IF(Movies[[#This Row],[currency]]="USD",Movies[[#This Row],[revenue(mln)]]*80,Movies[[#This Row],[revenue(mln)]])</f>
        <v>950</v>
      </c>
      <c r="P40">
        <f>IF(Movies[[#This Row],[currency]]="INR",Movies[[#This Row],[budget mln]]/80,Movies[[#This Row],[budget mln]])</f>
        <v>6.25</v>
      </c>
      <c r="Q40">
        <f>IF(Movies[[#This Row],[currency]]="INR",Movies[[#This Row],[revenue(mln)]]/80,Movies[[#This Row],[revenue(mln)]])</f>
        <v>11.875</v>
      </c>
    </row>
    <row r="42" spans="1:17" x14ac:dyDescent="0.3">
      <c r="B42" s="8" t="s">
        <v>166</v>
      </c>
      <c r="C42" s="8">
        <f>COUNT(Movies[movie_id])</f>
        <v>39</v>
      </c>
      <c r="N42" t="s">
        <v>164</v>
      </c>
      <c r="O42" t="s">
        <v>165</v>
      </c>
    </row>
    <row r="43" spans="1:17" x14ac:dyDescent="0.3">
      <c r="B43" s="8" t="s">
        <v>167</v>
      </c>
      <c r="C43" s="8">
        <f>COUNTIF(Movies[industry],"Bollywood")</f>
        <v>18</v>
      </c>
      <c r="L43" s="3" t="s">
        <v>162</v>
      </c>
      <c r="M43" s="3"/>
      <c r="N43" s="4">
        <f>SUM(Movies[Budget INR])</f>
        <v>264196.40000000002</v>
      </c>
      <c r="O43" s="5">
        <f>SUM(Movies[[#All],[revenue INR]])</f>
        <v>1567141</v>
      </c>
    </row>
    <row r="44" spans="1:17" x14ac:dyDescent="0.3">
      <c r="B44" s="8" t="s">
        <v>168</v>
      </c>
      <c r="C44" s="9">
        <f>C43/C42</f>
        <v>0.46153846153846156</v>
      </c>
    </row>
    <row r="45" spans="1:17" x14ac:dyDescent="0.3">
      <c r="B45" s="8" t="s">
        <v>169</v>
      </c>
      <c r="C45" s="8">
        <f>SUMIF(Movies[industry],"Bollywood",Movies[Budget INR])</f>
        <v>18630</v>
      </c>
      <c r="L45" s="6" t="s">
        <v>163</v>
      </c>
      <c r="M45" s="6"/>
      <c r="N45" s="6">
        <f>SUM(Movies[[#All],[budget USD]])</f>
        <v>3302.4549999999999</v>
      </c>
      <c r="O45" s="6">
        <f>SUM(Movies[[#All],[revenue USD]])</f>
        <v>19589.262500000001</v>
      </c>
    </row>
    <row r="46" spans="1:17" x14ac:dyDescent="0.3">
      <c r="B46" s="8" t="s">
        <v>170</v>
      </c>
      <c r="C46" s="8">
        <f>SUMIF(Movies[industry],"Bollywood",Movies[revenue INR])</f>
        <v>80909</v>
      </c>
    </row>
    <row r="47" spans="1:17" x14ac:dyDescent="0.3">
      <c r="B47" s="2" t="s">
        <v>171</v>
      </c>
      <c r="C47" s="2">
        <f>SUMIF(Movies[industry],"Hollywood",Movies[revenue USD])</f>
        <v>18577.900000000001</v>
      </c>
    </row>
    <row r="48" spans="1:17" x14ac:dyDescent="0.3">
      <c r="B48" s="2" t="s">
        <v>172</v>
      </c>
      <c r="C48" s="2">
        <f>AVERAGE(C47/C49)</f>
        <v>884.66190476190479</v>
      </c>
    </row>
    <row r="49" spans="2:3" x14ac:dyDescent="0.3">
      <c r="B49" s="2" t="s">
        <v>173</v>
      </c>
      <c r="C49" s="2">
        <f>COUNTIF(Movies[industry],"Hollywood")</f>
        <v>21</v>
      </c>
    </row>
  </sheetData>
  <conditionalFormatting sqref="A1:B1">
    <cfRule type="duplicateValues" dxfId="8" priority="5"/>
    <cfRule type="duplicateValues" dxfId="7" priority="6"/>
  </conditionalFormatting>
  <conditionalFormatting sqref="A2:B40">
    <cfRule type="duplicateValues" dxfId="6" priority="9"/>
    <cfRule type="duplicateValues" dxfId="5" priority="10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951C0-D968-407B-BACE-9EC26BF67B79}">
  <dimension ref="A1:E41"/>
  <sheetViews>
    <sheetView zoomScale="160" zoomScaleNormal="160" workbookViewId="0">
      <selection activeCell="B26" sqref="B26"/>
    </sheetView>
  </sheetViews>
  <sheetFormatPr defaultRowHeight="14.4" x14ac:dyDescent="0.3"/>
  <cols>
    <col min="1" max="1" width="9.44140625" customWidth="1"/>
    <col min="5" max="5" width="30.33203125" customWidth="1"/>
  </cols>
  <sheetData>
    <row r="1" spans="1:5" x14ac:dyDescent="0.3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</row>
    <row r="2" spans="1:5" x14ac:dyDescent="0.3">
      <c r="A2">
        <v>101</v>
      </c>
      <c r="B2">
        <v>1</v>
      </c>
      <c r="C2">
        <v>12.5</v>
      </c>
      <c r="D2" t="s">
        <v>30</v>
      </c>
      <c r="E2" t="s">
        <v>31</v>
      </c>
    </row>
    <row r="3" spans="1:5" x14ac:dyDescent="0.3">
      <c r="A3">
        <v>102</v>
      </c>
      <c r="B3">
        <v>200</v>
      </c>
      <c r="C3">
        <v>954.8</v>
      </c>
      <c r="D3" t="s">
        <v>32</v>
      </c>
      <c r="E3" t="s">
        <v>33</v>
      </c>
    </row>
    <row r="4" spans="1:5" x14ac:dyDescent="0.3">
      <c r="A4">
        <v>103</v>
      </c>
      <c r="B4">
        <v>165</v>
      </c>
      <c r="C4">
        <v>644.79999999999995</v>
      </c>
      <c r="D4" t="s">
        <v>32</v>
      </c>
      <c r="E4" t="s">
        <v>33</v>
      </c>
    </row>
    <row r="5" spans="1:5" x14ac:dyDescent="0.3">
      <c r="A5">
        <v>104</v>
      </c>
      <c r="B5">
        <v>180</v>
      </c>
      <c r="C5">
        <v>854</v>
      </c>
      <c r="D5" t="s">
        <v>32</v>
      </c>
      <c r="E5" t="s">
        <v>33</v>
      </c>
    </row>
    <row r="6" spans="1:5" x14ac:dyDescent="0.3">
      <c r="A6">
        <v>105</v>
      </c>
      <c r="B6">
        <v>250</v>
      </c>
      <c r="C6">
        <v>670</v>
      </c>
      <c r="D6" t="s">
        <v>32</v>
      </c>
      <c r="E6" t="s">
        <v>33</v>
      </c>
    </row>
    <row r="7" spans="1:5" x14ac:dyDescent="0.3">
      <c r="A7">
        <v>107</v>
      </c>
      <c r="B7">
        <v>400</v>
      </c>
      <c r="C7">
        <v>2000</v>
      </c>
      <c r="D7" t="s">
        <v>32</v>
      </c>
      <c r="E7" t="s">
        <v>31</v>
      </c>
    </row>
    <row r="8" spans="1:5" x14ac:dyDescent="0.3">
      <c r="A8">
        <v>108</v>
      </c>
      <c r="B8">
        <v>550</v>
      </c>
      <c r="C8">
        <v>4000</v>
      </c>
      <c r="D8" t="s">
        <v>32</v>
      </c>
      <c r="E8" t="s">
        <v>31</v>
      </c>
    </row>
    <row r="9" spans="1:5" x14ac:dyDescent="0.3">
      <c r="A9">
        <v>109</v>
      </c>
      <c r="B9">
        <v>390</v>
      </c>
      <c r="C9">
        <v>1360</v>
      </c>
      <c r="D9" t="s">
        <v>32</v>
      </c>
      <c r="E9" t="s">
        <v>31</v>
      </c>
    </row>
    <row r="10" spans="1:5" x14ac:dyDescent="0.3">
      <c r="A10">
        <v>110</v>
      </c>
      <c r="B10">
        <v>1.4</v>
      </c>
      <c r="C10">
        <v>3.5</v>
      </c>
      <c r="D10" t="s">
        <v>30</v>
      </c>
      <c r="E10" t="s">
        <v>31</v>
      </c>
    </row>
    <row r="11" spans="1:5" x14ac:dyDescent="0.3">
      <c r="A11">
        <v>111</v>
      </c>
      <c r="B11">
        <v>25</v>
      </c>
      <c r="C11">
        <v>73.3</v>
      </c>
      <c r="D11" t="s">
        <v>32</v>
      </c>
      <c r="E11" t="s">
        <v>33</v>
      </c>
    </row>
    <row r="12" spans="1:5" x14ac:dyDescent="0.3">
      <c r="A12">
        <v>113</v>
      </c>
      <c r="B12">
        <v>165</v>
      </c>
      <c r="C12">
        <v>701.8</v>
      </c>
      <c r="D12" t="s">
        <v>32</v>
      </c>
      <c r="E12" t="s">
        <v>33</v>
      </c>
    </row>
    <row r="13" spans="1:5" x14ac:dyDescent="0.3">
      <c r="A13">
        <v>114</v>
      </c>
      <c r="B13">
        <v>205</v>
      </c>
      <c r="C13">
        <v>365.3</v>
      </c>
      <c r="D13" t="s">
        <v>32</v>
      </c>
      <c r="E13" t="s">
        <v>33</v>
      </c>
    </row>
    <row r="14" spans="1:5" x14ac:dyDescent="0.3">
      <c r="A14">
        <v>115</v>
      </c>
      <c r="B14">
        <v>55</v>
      </c>
      <c r="C14">
        <v>307.10000000000002</v>
      </c>
      <c r="D14" t="s">
        <v>32</v>
      </c>
      <c r="E14" t="s">
        <v>33</v>
      </c>
    </row>
    <row r="15" spans="1:5" x14ac:dyDescent="0.3">
      <c r="A15">
        <v>116</v>
      </c>
      <c r="B15">
        <v>103</v>
      </c>
      <c r="C15">
        <v>460.5</v>
      </c>
      <c r="D15" t="s">
        <v>32</v>
      </c>
      <c r="E15" t="s">
        <v>33</v>
      </c>
    </row>
    <row r="16" spans="1:5" x14ac:dyDescent="0.3">
      <c r="A16">
        <v>117</v>
      </c>
      <c r="B16">
        <v>200</v>
      </c>
      <c r="C16">
        <v>2202</v>
      </c>
      <c r="D16" t="s">
        <v>32</v>
      </c>
      <c r="E16" t="s">
        <v>33</v>
      </c>
    </row>
    <row r="17" spans="1:5" x14ac:dyDescent="0.3">
      <c r="A17">
        <v>118</v>
      </c>
      <c r="B17">
        <v>3.18</v>
      </c>
      <c r="C17">
        <v>3.3</v>
      </c>
      <c r="D17" t="s">
        <v>32</v>
      </c>
      <c r="E17" t="s">
        <v>33</v>
      </c>
    </row>
    <row r="18" spans="1:5" x14ac:dyDescent="0.3">
      <c r="A18">
        <v>119</v>
      </c>
      <c r="B18">
        <v>237</v>
      </c>
      <c r="C18">
        <v>2847</v>
      </c>
      <c r="D18" t="s">
        <v>32</v>
      </c>
      <c r="E18" t="s">
        <v>33</v>
      </c>
    </row>
    <row r="19" spans="1:5" x14ac:dyDescent="0.3">
      <c r="A19">
        <v>120</v>
      </c>
      <c r="B19">
        <v>7.2</v>
      </c>
      <c r="C19">
        <v>291</v>
      </c>
      <c r="D19" t="s">
        <v>32</v>
      </c>
      <c r="E19" t="s">
        <v>33</v>
      </c>
    </row>
    <row r="20" spans="1:5" x14ac:dyDescent="0.3">
      <c r="A20">
        <v>121</v>
      </c>
      <c r="B20">
        <v>185</v>
      </c>
      <c r="C20">
        <v>1006</v>
      </c>
      <c r="D20" t="s">
        <v>32</v>
      </c>
      <c r="E20" t="s">
        <v>33</v>
      </c>
    </row>
    <row r="21" spans="1:5" x14ac:dyDescent="0.3">
      <c r="A21">
        <v>122</v>
      </c>
      <c r="B21">
        <v>22</v>
      </c>
      <c r="C21">
        <v>322.2</v>
      </c>
      <c r="D21" t="s">
        <v>32</v>
      </c>
      <c r="E21" t="s">
        <v>33</v>
      </c>
    </row>
    <row r="22" spans="1:5" x14ac:dyDescent="0.3">
      <c r="A22">
        <v>123</v>
      </c>
      <c r="B22">
        <v>63</v>
      </c>
      <c r="C22">
        <v>1046</v>
      </c>
      <c r="D22" t="s">
        <v>32</v>
      </c>
      <c r="E22" t="s">
        <v>33</v>
      </c>
    </row>
    <row r="23" spans="1:5" x14ac:dyDescent="0.3">
      <c r="A23">
        <v>124</v>
      </c>
      <c r="B23">
        <v>15.5</v>
      </c>
      <c r="C23">
        <v>263.10000000000002</v>
      </c>
      <c r="D23" t="s">
        <v>32</v>
      </c>
      <c r="E23" t="s">
        <v>33</v>
      </c>
    </row>
    <row r="24" spans="1:5" x14ac:dyDescent="0.3">
      <c r="A24">
        <v>125</v>
      </c>
      <c r="B24">
        <v>400</v>
      </c>
      <c r="C24">
        <v>2798</v>
      </c>
      <c r="D24" t="s">
        <v>32</v>
      </c>
      <c r="E24" t="s">
        <v>33</v>
      </c>
    </row>
    <row r="25" spans="1:5" x14ac:dyDescent="0.3">
      <c r="A25">
        <v>126</v>
      </c>
      <c r="B25">
        <v>400</v>
      </c>
      <c r="C25">
        <v>2048</v>
      </c>
      <c r="D25" t="s">
        <v>32</v>
      </c>
      <c r="E25" t="s">
        <v>33</v>
      </c>
    </row>
    <row r="26" spans="1:5" x14ac:dyDescent="0.3">
      <c r="A26">
        <v>127</v>
      </c>
      <c r="B26">
        <v>70</v>
      </c>
      <c r="C26">
        <v>100</v>
      </c>
      <c r="D26" t="s">
        <v>32</v>
      </c>
      <c r="E26" t="s">
        <v>31</v>
      </c>
    </row>
    <row r="27" spans="1:5" x14ac:dyDescent="0.3">
      <c r="A27">
        <v>128</v>
      </c>
      <c r="B27">
        <v>120</v>
      </c>
      <c r="C27">
        <v>1350</v>
      </c>
      <c r="D27" t="s">
        <v>32</v>
      </c>
      <c r="E27" t="s">
        <v>31</v>
      </c>
    </row>
    <row r="28" spans="1:5" x14ac:dyDescent="0.3">
      <c r="A28">
        <v>129</v>
      </c>
      <c r="B28">
        <v>100</v>
      </c>
      <c r="C28">
        <v>410</v>
      </c>
      <c r="D28" t="s">
        <v>32</v>
      </c>
      <c r="E28" t="s">
        <v>31</v>
      </c>
    </row>
    <row r="29" spans="1:5" x14ac:dyDescent="0.3">
      <c r="A29">
        <v>130</v>
      </c>
      <c r="B29">
        <v>850</v>
      </c>
      <c r="C29">
        <v>8540</v>
      </c>
      <c r="D29" t="s">
        <v>32</v>
      </c>
      <c r="E29" t="s">
        <v>31</v>
      </c>
    </row>
    <row r="30" spans="1:5" x14ac:dyDescent="0.3">
      <c r="A30">
        <v>131</v>
      </c>
      <c r="B30">
        <v>1</v>
      </c>
      <c r="C30">
        <v>5.9</v>
      </c>
      <c r="D30" t="s">
        <v>30</v>
      </c>
      <c r="E30" t="s">
        <v>31</v>
      </c>
    </row>
    <row r="31" spans="1:5" x14ac:dyDescent="0.3">
      <c r="A31">
        <v>132</v>
      </c>
      <c r="B31">
        <v>2</v>
      </c>
      <c r="C31">
        <v>3.6</v>
      </c>
      <c r="D31" t="s">
        <v>30</v>
      </c>
      <c r="E31" t="s">
        <v>31</v>
      </c>
    </row>
    <row r="32" spans="1:5" x14ac:dyDescent="0.3">
      <c r="A32">
        <v>133</v>
      </c>
      <c r="B32">
        <v>5.5</v>
      </c>
      <c r="C32">
        <v>12</v>
      </c>
      <c r="D32" t="s">
        <v>30</v>
      </c>
      <c r="E32" t="s">
        <v>31</v>
      </c>
    </row>
    <row r="33" spans="1:5" x14ac:dyDescent="0.3">
      <c r="A33">
        <v>134</v>
      </c>
      <c r="B33">
        <v>1.8</v>
      </c>
      <c r="C33">
        <v>6.5</v>
      </c>
      <c r="D33" t="s">
        <v>30</v>
      </c>
      <c r="E33" t="s">
        <v>31</v>
      </c>
    </row>
    <row r="34" spans="1:5" x14ac:dyDescent="0.3">
      <c r="A34">
        <v>135</v>
      </c>
      <c r="B34">
        <v>250</v>
      </c>
      <c r="C34">
        <v>3409</v>
      </c>
      <c r="D34" t="s">
        <v>32</v>
      </c>
      <c r="E34" t="s">
        <v>31</v>
      </c>
    </row>
    <row r="35" spans="1:5" x14ac:dyDescent="0.3">
      <c r="A35">
        <v>136</v>
      </c>
      <c r="B35">
        <v>900</v>
      </c>
      <c r="C35">
        <v>11690</v>
      </c>
      <c r="D35" t="s">
        <v>32</v>
      </c>
      <c r="E35" t="s">
        <v>31</v>
      </c>
    </row>
    <row r="36" spans="1:5" x14ac:dyDescent="0.3">
      <c r="A36">
        <v>137</v>
      </c>
      <c r="B36">
        <v>216.7</v>
      </c>
      <c r="C36">
        <v>370.6</v>
      </c>
      <c r="D36" t="s">
        <v>32</v>
      </c>
      <c r="E36" t="s">
        <v>33</v>
      </c>
    </row>
    <row r="37" spans="1:5" x14ac:dyDescent="0.3">
      <c r="A37">
        <v>138</v>
      </c>
      <c r="B37">
        <v>177</v>
      </c>
      <c r="C37">
        <v>714.4</v>
      </c>
      <c r="D37" t="s">
        <v>32</v>
      </c>
      <c r="E37" t="s">
        <v>33</v>
      </c>
    </row>
    <row r="38" spans="1:5" x14ac:dyDescent="0.3">
      <c r="A38">
        <v>139</v>
      </c>
      <c r="B38">
        <v>1.8</v>
      </c>
      <c r="C38">
        <v>3.1</v>
      </c>
      <c r="D38" t="s">
        <v>30</v>
      </c>
      <c r="E38" t="s">
        <v>31</v>
      </c>
    </row>
    <row r="39" spans="1:5" x14ac:dyDescent="0.3">
      <c r="A39">
        <v>140</v>
      </c>
      <c r="B39">
        <v>500</v>
      </c>
      <c r="C39">
        <v>950</v>
      </c>
      <c r="D39" t="s">
        <v>32</v>
      </c>
      <c r="E39" t="s">
        <v>31</v>
      </c>
    </row>
    <row r="40" spans="1:5" x14ac:dyDescent="0.3">
      <c r="A40">
        <v>406</v>
      </c>
      <c r="B40">
        <v>30</v>
      </c>
      <c r="C40">
        <v>350</v>
      </c>
      <c r="D40" t="s">
        <v>32</v>
      </c>
      <c r="E40" t="s">
        <v>31</v>
      </c>
    </row>
    <row r="41" spans="1:5" x14ac:dyDescent="0.3">
      <c r="A41">
        <v>412</v>
      </c>
      <c r="B41">
        <v>160</v>
      </c>
      <c r="C41">
        <v>836.8</v>
      </c>
      <c r="D41" t="s">
        <v>32</v>
      </c>
      <c r="E41" t="s">
        <v>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05207-AD4A-4BA5-928C-E78006753CCF}">
  <dimension ref="A1:C68"/>
  <sheetViews>
    <sheetView zoomScale="160" zoomScaleNormal="160" workbookViewId="0">
      <selection activeCell="A2" sqref="A2:B3"/>
    </sheetView>
  </sheetViews>
  <sheetFormatPr defaultRowHeight="14.4" x14ac:dyDescent="0.3"/>
  <cols>
    <col min="2" max="2" width="26.44140625" customWidth="1"/>
    <col min="3" max="3" width="10.88671875" customWidth="1"/>
    <col min="5" max="5" width="22.109375" customWidth="1"/>
  </cols>
  <sheetData>
    <row r="1" spans="1:3" x14ac:dyDescent="0.3">
      <c r="A1" s="2" t="s">
        <v>34</v>
      </c>
      <c r="B1" s="2" t="s">
        <v>35</v>
      </c>
      <c r="C1" s="2" t="s">
        <v>36</v>
      </c>
    </row>
    <row r="2" spans="1:3" x14ac:dyDescent="0.3">
      <c r="A2">
        <v>50</v>
      </c>
      <c r="B2" t="s">
        <v>37</v>
      </c>
      <c r="C2">
        <v>1986</v>
      </c>
    </row>
    <row r="3" spans="1:3" x14ac:dyDescent="0.3">
      <c r="A3">
        <v>51</v>
      </c>
      <c r="B3" t="s">
        <v>38</v>
      </c>
      <c r="C3">
        <v>1959</v>
      </c>
    </row>
    <row r="4" spans="1:3" x14ac:dyDescent="0.3">
      <c r="A4">
        <v>52</v>
      </c>
      <c r="B4" t="s">
        <v>39</v>
      </c>
      <c r="C4">
        <v>1976</v>
      </c>
    </row>
    <row r="5" spans="1:3" x14ac:dyDescent="0.3">
      <c r="A5">
        <v>53</v>
      </c>
      <c r="B5" t="s">
        <v>40</v>
      </c>
      <c r="C5">
        <v>1989</v>
      </c>
    </row>
    <row r="6" spans="1:3" x14ac:dyDescent="0.3">
      <c r="A6">
        <v>54</v>
      </c>
      <c r="B6" t="s">
        <v>41</v>
      </c>
      <c r="C6">
        <v>1983</v>
      </c>
    </row>
    <row r="7" spans="1:3" x14ac:dyDescent="0.3">
      <c r="A7">
        <v>55</v>
      </c>
      <c r="B7" t="s">
        <v>42</v>
      </c>
      <c r="C7">
        <v>1981</v>
      </c>
    </row>
    <row r="8" spans="1:3" x14ac:dyDescent="0.3">
      <c r="A8">
        <v>56</v>
      </c>
      <c r="B8" t="s">
        <v>43</v>
      </c>
      <c r="C8">
        <v>1981</v>
      </c>
    </row>
    <row r="9" spans="1:3" x14ac:dyDescent="0.3">
      <c r="A9">
        <v>57</v>
      </c>
      <c r="B9" t="s">
        <v>44</v>
      </c>
      <c r="C9">
        <v>1942</v>
      </c>
    </row>
    <row r="10" spans="1:3" x14ac:dyDescent="0.3">
      <c r="A10">
        <v>58</v>
      </c>
      <c r="B10" t="s">
        <v>45</v>
      </c>
      <c r="C10">
        <v>1948</v>
      </c>
    </row>
    <row r="11" spans="1:3" x14ac:dyDescent="0.3">
      <c r="A11">
        <v>59</v>
      </c>
      <c r="B11" t="s">
        <v>46</v>
      </c>
      <c r="C11">
        <v>1965</v>
      </c>
    </row>
    <row r="12" spans="1:3" x14ac:dyDescent="0.3">
      <c r="A12">
        <v>60</v>
      </c>
      <c r="B12" t="s">
        <v>47</v>
      </c>
      <c r="C12">
        <v>1974</v>
      </c>
    </row>
    <row r="13" spans="1:3" x14ac:dyDescent="0.3">
      <c r="A13">
        <v>61</v>
      </c>
      <c r="B13" t="s">
        <v>48</v>
      </c>
      <c r="C13">
        <v>1965</v>
      </c>
    </row>
    <row r="14" spans="1:3" x14ac:dyDescent="0.3">
      <c r="A14">
        <v>62</v>
      </c>
      <c r="B14" t="s">
        <v>49</v>
      </c>
      <c r="C14">
        <v>1970</v>
      </c>
    </row>
    <row r="15" spans="1:3" x14ac:dyDescent="0.3">
      <c r="A15">
        <v>63</v>
      </c>
      <c r="B15" t="s">
        <v>50</v>
      </c>
      <c r="C15">
        <v>1979</v>
      </c>
    </row>
    <row r="16" spans="1:3" x14ac:dyDescent="0.3">
      <c r="A16">
        <v>64</v>
      </c>
      <c r="B16" t="s">
        <v>51</v>
      </c>
      <c r="C16">
        <v>1974</v>
      </c>
    </row>
    <row r="17" spans="1:3" x14ac:dyDescent="0.3">
      <c r="A17">
        <v>65</v>
      </c>
      <c r="B17" t="s">
        <v>52</v>
      </c>
      <c r="C17">
        <v>1985</v>
      </c>
    </row>
    <row r="18" spans="1:3" x14ac:dyDescent="0.3">
      <c r="A18">
        <v>66</v>
      </c>
      <c r="B18" t="s">
        <v>53</v>
      </c>
      <c r="C18">
        <v>1986</v>
      </c>
    </row>
    <row r="19" spans="1:3" x14ac:dyDescent="0.3">
      <c r="A19">
        <v>67</v>
      </c>
      <c r="B19" t="s">
        <v>54</v>
      </c>
      <c r="C19">
        <v>1958</v>
      </c>
    </row>
    <row r="20" spans="1:3" x14ac:dyDescent="0.3">
      <c r="A20">
        <v>68</v>
      </c>
      <c r="B20" t="s">
        <v>55</v>
      </c>
      <c r="C20">
        <v>1937</v>
      </c>
    </row>
    <row r="21" spans="1:3" x14ac:dyDescent="0.3">
      <c r="A21">
        <v>69</v>
      </c>
      <c r="B21" t="s">
        <v>56</v>
      </c>
      <c r="C21">
        <v>1974</v>
      </c>
    </row>
    <row r="22" spans="1:3" x14ac:dyDescent="0.3">
      <c r="A22">
        <v>70</v>
      </c>
      <c r="B22" t="s">
        <v>57</v>
      </c>
      <c r="C22">
        <v>1959</v>
      </c>
    </row>
    <row r="23" spans="1:3" x14ac:dyDescent="0.3">
      <c r="A23">
        <v>71</v>
      </c>
      <c r="B23" t="s">
        <v>58</v>
      </c>
      <c r="C23">
        <v>1969</v>
      </c>
    </row>
    <row r="24" spans="1:3" x14ac:dyDescent="0.3">
      <c r="A24">
        <v>72</v>
      </c>
      <c r="B24" t="s">
        <v>59</v>
      </c>
      <c r="C24">
        <v>1982</v>
      </c>
    </row>
    <row r="25" spans="1:3" x14ac:dyDescent="0.3">
      <c r="A25">
        <v>73</v>
      </c>
      <c r="B25" t="s">
        <v>60</v>
      </c>
      <c r="C25">
        <v>1984</v>
      </c>
    </row>
    <row r="26" spans="1:3" x14ac:dyDescent="0.3">
      <c r="A26">
        <v>74</v>
      </c>
      <c r="B26" t="s">
        <v>61</v>
      </c>
      <c r="C26">
        <v>1986</v>
      </c>
    </row>
    <row r="27" spans="1:3" x14ac:dyDescent="0.3">
      <c r="A27">
        <v>75</v>
      </c>
      <c r="B27" t="s">
        <v>62</v>
      </c>
      <c r="C27">
        <v>1968</v>
      </c>
    </row>
    <row r="28" spans="1:3" x14ac:dyDescent="0.3">
      <c r="A28">
        <v>76</v>
      </c>
      <c r="B28" t="s">
        <v>63</v>
      </c>
      <c r="C28">
        <v>1972</v>
      </c>
    </row>
    <row r="29" spans="1:3" x14ac:dyDescent="0.3">
      <c r="A29">
        <v>77</v>
      </c>
      <c r="B29" t="s">
        <v>64</v>
      </c>
      <c r="C29">
        <v>1964</v>
      </c>
    </row>
    <row r="30" spans="1:3" x14ac:dyDescent="0.3">
      <c r="A30">
        <v>78</v>
      </c>
      <c r="B30" t="s">
        <v>65</v>
      </c>
      <c r="C30">
        <v>1974</v>
      </c>
    </row>
    <row r="31" spans="1:3" x14ac:dyDescent="0.3">
      <c r="A31">
        <v>79</v>
      </c>
      <c r="B31" t="s">
        <v>66</v>
      </c>
      <c r="C31">
        <v>1975</v>
      </c>
    </row>
    <row r="32" spans="1:3" x14ac:dyDescent="0.3">
      <c r="A32">
        <v>80</v>
      </c>
      <c r="B32" t="s">
        <v>67</v>
      </c>
      <c r="C32">
        <v>1908</v>
      </c>
    </row>
    <row r="33" spans="1:3" x14ac:dyDescent="0.3">
      <c r="A33">
        <v>81</v>
      </c>
      <c r="B33" t="s">
        <v>68</v>
      </c>
      <c r="C33">
        <v>1921</v>
      </c>
    </row>
    <row r="34" spans="1:3" x14ac:dyDescent="0.3">
      <c r="A34">
        <v>82</v>
      </c>
      <c r="B34" t="s">
        <v>69</v>
      </c>
      <c r="C34">
        <v>1976</v>
      </c>
    </row>
    <row r="35" spans="1:3" x14ac:dyDescent="0.3">
      <c r="A35">
        <v>83</v>
      </c>
      <c r="B35" t="s">
        <v>70</v>
      </c>
      <c r="C35">
        <v>1978</v>
      </c>
    </row>
    <row r="36" spans="1:3" x14ac:dyDescent="0.3">
      <c r="A36">
        <v>84</v>
      </c>
      <c r="B36" t="s">
        <v>71</v>
      </c>
      <c r="C36">
        <v>1924</v>
      </c>
    </row>
    <row r="37" spans="1:3" x14ac:dyDescent="0.3">
      <c r="A37">
        <v>85</v>
      </c>
      <c r="B37" t="s">
        <v>72</v>
      </c>
      <c r="C37">
        <v>1940</v>
      </c>
    </row>
    <row r="38" spans="1:3" x14ac:dyDescent="0.3">
      <c r="A38">
        <v>86</v>
      </c>
      <c r="B38" t="s">
        <v>73</v>
      </c>
      <c r="C38">
        <v>1974</v>
      </c>
    </row>
    <row r="39" spans="1:3" x14ac:dyDescent="0.3">
      <c r="A39">
        <v>87</v>
      </c>
      <c r="B39" t="s">
        <v>74</v>
      </c>
      <c r="C39">
        <v>1979</v>
      </c>
    </row>
    <row r="40" spans="1:3" x14ac:dyDescent="0.3">
      <c r="A40">
        <v>88</v>
      </c>
      <c r="B40" t="s">
        <v>75</v>
      </c>
      <c r="C40">
        <v>1952</v>
      </c>
    </row>
    <row r="41" spans="1:3" x14ac:dyDescent="0.3">
      <c r="A41">
        <v>89</v>
      </c>
      <c r="B41" t="s">
        <v>76</v>
      </c>
      <c r="C41">
        <v>1943</v>
      </c>
    </row>
    <row r="42" spans="1:3" x14ac:dyDescent="0.3">
      <c r="A42">
        <v>90</v>
      </c>
      <c r="B42" t="s">
        <v>77</v>
      </c>
      <c r="C42">
        <v>1947</v>
      </c>
    </row>
    <row r="43" spans="1:3" x14ac:dyDescent="0.3">
      <c r="A43">
        <v>91</v>
      </c>
      <c r="B43" t="s">
        <v>78</v>
      </c>
      <c r="C43">
        <v>1967</v>
      </c>
    </row>
    <row r="44" spans="1:3" x14ac:dyDescent="0.3">
      <c r="A44">
        <v>92</v>
      </c>
      <c r="B44" t="s">
        <v>79</v>
      </c>
      <c r="C44">
        <v>1967</v>
      </c>
    </row>
    <row r="45" spans="1:3" x14ac:dyDescent="0.3">
      <c r="A45">
        <v>93</v>
      </c>
      <c r="B45" t="s">
        <v>80</v>
      </c>
      <c r="C45">
        <v>1975</v>
      </c>
    </row>
    <row r="46" spans="1:3" x14ac:dyDescent="0.3">
      <c r="A46">
        <v>94</v>
      </c>
      <c r="B46" t="s">
        <v>81</v>
      </c>
      <c r="C46">
        <v>1965</v>
      </c>
    </row>
    <row r="47" spans="1:3" x14ac:dyDescent="0.3">
      <c r="A47">
        <v>95</v>
      </c>
      <c r="B47" t="s">
        <v>82</v>
      </c>
      <c r="C47">
        <v>1981</v>
      </c>
    </row>
    <row r="48" spans="1:3" x14ac:dyDescent="0.3">
      <c r="A48">
        <v>150</v>
      </c>
      <c r="B48" t="s">
        <v>83</v>
      </c>
      <c r="C48">
        <v>1905</v>
      </c>
    </row>
    <row r="49" spans="1:3" x14ac:dyDescent="0.3">
      <c r="A49">
        <v>151</v>
      </c>
      <c r="B49" t="s">
        <v>84</v>
      </c>
      <c r="C49">
        <v>1919</v>
      </c>
    </row>
    <row r="50" spans="1:3" x14ac:dyDescent="0.3">
      <c r="A50">
        <v>152</v>
      </c>
      <c r="B50" t="s">
        <v>85</v>
      </c>
      <c r="C50">
        <v>1997</v>
      </c>
    </row>
    <row r="51" spans="1:3" x14ac:dyDescent="0.3">
      <c r="A51">
        <v>153</v>
      </c>
      <c r="B51" t="s">
        <v>86</v>
      </c>
      <c r="C51">
        <v>1929</v>
      </c>
    </row>
    <row r="52" spans="1:3" x14ac:dyDescent="0.3">
      <c r="A52">
        <v>154</v>
      </c>
      <c r="B52" t="s">
        <v>87</v>
      </c>
      <c r="C52">
        <v>1988</v>
      </c>
    </row>
    <row r="53" spans="1:3" x14ac:dyDescent="0.3">
      <c r="A53">
        <v>155</v>
      </c>
      <c r="B53" t="s">
        <v>88</v>
      </c>
      <c r="C53">
        <v>1982</v>
      </c>
    </row>
    <row r="54" spans="1:3" x14ac:dyDescent="0.3">
      <c r="A54">
        <v>156</v>
      </c>
      <c r="B54" t="s">
        <v>89</v>
      </c>
      <c r="C54">
        <v>1982</v>
      </c>
    </row>
    <row r="55" spans="1:3" x14ac:dyDescent="0.3">
      <c r="A55">
        <v>157</v>
      </c>
      <c r="B55" t="s">
        <v>90</v>
      </c>
      <c r="C55">
        <v>1982</v>
      </c>
    </row>
    <row r="56" spans="1:3" x14ac:dyDescent="0.3">
      <c r="A56">
        <v>158</v>
      </c>
      <c r="B56" t="s">
        <v>91</v>
      </c>
      <c r="C56">
        <v>1983</v>
      </c>
    </row>
    <row r="57" spans="1:3" x14ac:dyDescent="0.3">
      <c r="A57">
        <v>159</v>
      </c>
      <c r="B57" t="s">
        <v>92</v>
      </c>
      <c r="C57">
        <v>1985</v>
      </c>
    </row>
    <row r="58" spans="1:3" x14ac:dyDescent="0.3">
      <c r="A58">
        <v>160</v>
      </c>
      <c r="B58" t="s">
        <v>93</v>
      </c>
      <c r="C58">
        <v>1979</v>
      </c>
    </row>
    <row r="59" spans="1:3" x14ac:dyDescent="0.3">
      <c r="A59">
        <v>161</v>
      </c>
      <c r="B59" t="s">
        <v>94</v>
      </c>
      <c r="C59">
        <v>1984</v>
      </c>
    </row>
    <row r="60" spans="1:3" x14ac:dyDescent="0.3">
      <c r="A60">
        <v>162</v>
      </c>
      <c r="B60" t="s">
        <v>95</v>
      </c>
      <c r="C60">
        <v>1950</v>
      </c>
    </row>
    <row r="61" spans="1:3" x14ac:dyDescent="0.3">
      <c r="A61">
        <v>163</v>
      </c>
      <c r="B61" t="s">
        <v>96</v>
      </c>
      <c r="C61">
        <v>1955</v>
      </c>
    </row>
    <row r="62" spans="1:3" x14ac:dyDescent="0.3">
      <c r="A62">
        <v>164</v>
      </c>
      <c r="B62" t="s">
        <v>97</v>
      </c>
      <c r="C62">
        <v>1965</v>
      </c>
    </row>
    <row r="63" spans="1:3" x14ac:dyDescent="0.3">
      <c r="A63">
        <v>165</v>
      </c>
      <c r="B63" t="s">
        <v>98</v>
      </c>
      <c r="C63">
        <v>1967</v>
      </c>
    </row>
    <row r="64" spans="1:3" x14ac:dyDescent="0.3">
      <c r="A64">
        <v>166</v>
      </c>
      <c r="B64" t="s">
        <v>99</v>
      </c>
      <c r="C64">
        <v>1946</v>
      </c>
    </row>
    <row r="65" spans="1:3" x14ac:dyDescent="0.3">
      <c r="A65">
        <v>167</v>
      </c>
      <c r="B65" t="s">
        <v>100</v>
      </c>
      <c r="C65">
        <v>1982</v>
      </c>
    </row>
    <row r="66" spans="1:3" x14ac:dyDescent="0.3">
      <c r="A66">
        <v>168</v>
      </c>
      <c r="B66" t="s">
        <v>101</v>
      </c>
      <c r="C66">
        <v>1956</v>
      </c>
    </row>
    <row r="67" spans="1:3" x14ac:dyDescent="0.3">
      <c r="A67">
        <v>169</v>
      </c>
      <c r="B67" t="s">
        <v>102</v>
      </c>
      <c r="C67">
        <v>1985</v>
      </c>
    </row>
    <row r="68" spans="1:3" x14ac:dyDescent="0.3">
      <c r="A68">
        <v>170</v>
      </c>
      <c r="B68" t="s">
        <v>103</v>
      </c>
      <c r="C68">
        <v>1991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2F180-645C-4BD4-BB22-B680DB6CAFAD}">
  <dimension ref="A1:B86"/>
  <sheetViews>
    <sheetView zoomScale="160" zoomScaleNormal="160" workbookViewId="0">
      <selection activeCell="B2" sqref="B2:B3"/>
    </sheetView>
  </sheetViews>
  <sheetFormatPr defaultRowHeight="14.4" x14ac:dyDescent="0.3"/>
  <cols>
    <col min="1" max="1" width="9.88671875" customWidth="1"/>
  </cols>
  <sheetData>
    <row r="1" spans="1:2" x14ac:dyDescent="0.3">
      <c r="A1" s="2" t="s">
        <v>0</v>
      </c>
      <c r="B1" s="2" t="s">
        <v>34</v>
      </c>
    </row>
    <row r="2" spans="1:2" x14ac:dyDescent="0.3">
      <c r="A2">
        <v>101</v>
      </c>
      <c r="B2">
        <v>50</v>
      </c>
    </row>
    <row r="3" spans="1:2" x14ac:dyDescent="0.3">
      <c r="A3">
        <v>101</v>
      </c>
      <c r="B3">
        <v>51</v>
      </c>
    </row>
    <row r="4" spans="1:2" x14ac:dyDescent="0.3">
      <c r="A4">
        <v>102</v>
      </c>
      <c r="B4">
        <v>52</v>
      </c>
    </row>
    <row r="5" spans="1:2" x14ac:dyDescent="0.3">
      <c r="A5">
        <v>102</v>
      </c>
      <c r="B5">
        <v>53</v>
      </c>
    </row>
    <row r="6" spans="1:2" x14ac:dyDescent="0.3">
      <c r="A6">
        <v>103</v>
      </c>
      <c r="B6">
        <v>54</v>
      </c>
    </row>
    <row r="7" spans="1:2" x14ac:dyDescent="0.3">
      <c r="A7">
        <v>103</v>
      </c>
      <c r="B7">
        <v>55</v>
      </c>
    </row>
    <row r="8" spans="1:2" x14ac:dyDescent="0.3">
      <c r="A8">
        <v>103</v>
      </c>
      <c r="B8">
        <v>56</v>
      </c>
    </row>
    <row r="9" spans="1:2" x14ac:dyDescent="0.3">
      <c r="A9">
        <v>104</v>
      </c>
      <c r="B9">
        <v>54</v>
      </c>
    </row>
    <row r="10" spans="1:2" x14ac:dyDescent="0.3">
      <c r="A10">
        <v>104</v>
      </c>
      <c r="B10">
        <v>56</v>
      </c>
    </row>
    <row r="11" spans="1:2" x14ac:dyDescent="0.3">
      <c r="A11">
        <v>105</v>
      </c>
      <c r="B11">
        <v>54</v>
      </c>
    </row>
    <row r="12" spans="1:2" x14ac:dyDescent="0.3">
      <c r="A12">
        <v>105</v>
      </c>
      <c r="B12">
        <v>55</v>
      </c>
    </row>
    <row r="13" spans="1:2" x14ac:dyDescent="0.3">
      <c r="A13">
        <v>106</v>
      </c>
      <c r="B13">
        <v>57</v>
      </c>
    </row>
    <row r="14" spans="1:2" x14ac:dyDescent="0.3">
      <c r="A14">
        <v>106</v>
      </c>
      <c r="B14">
        <v>58</v>
      </c>
    </row>
    <row r="15" spans="1:2" x14ac:dyDescent="0.3">
      <c r="A15">
        <v>107</v>
      </c>
      <c r="B15">
        <v>59</v>
      </c>
    </row>
    <row r="16" spans="1:2" x14ac:dyDescent="0.3">
      <c r="A16">
        <v>107</v>
      </c>
      <c r="B16">
        <v>60</v>
      </c>
    </row>
    <row r="17" spans="1:2" x14ac:dyDescent="0.3">
      <c r="A17">
        <v>108</v>
      </c>
      <c r="B17">
        <v>61</v>
      </c>
    </row>
    <row r="18" spans="1:2" x14ac:dyDescent="0.3">
      <c r="A18">
        <v>108</v>
      </c>
      <c r="B18">
        <v>62</v>
      </c>
    </row>
    <row r="19" spans="1:2" x14ac:dyDescent="0.3">
      <c r="A19">
        <v>108</v>
      </c>
      <c r="B19">
        <v>63</v>
      </c>
    </row>
    <row r="20" spans="1:2" x14ac:dyDescent="0.3">
      <c r="A20">
        <v>109</v>
      </c>
      <c r="B20">
        <v>59</v>
      </c>
    </row>
    <row r="21" spans="1:2" x14ac:dyDescent="0.3">
      <c r="A21">
        <v>109</v>
      </c>
      <c r="B21">
        <v>57</v>
      </c>
    </row>
    <row r="22" spans="1:2" x14ac:dyDescent="0.3">
      <c r="A22">
        <v>109</v>
      </c>
      <c r="B22">
        <v>64</v>
      </c>
    </row>
    <row r="23" spans="1:2" x14ac:dyDescent="0.3">
      <c r="A23">
        <v>110</v>
      </c>
      <c r="B23">
        <v>65</v>
      </c>
    </row>
    <row r="24" spans="1:2" x14ac:dyDescent="0.3">
      <c r="A24">
        <v>110</v>
      </c>
      <c r="B24">
        <v>66</v>
      </c>
    </row>
    <row r="25" spans="1:2" x14ac:dyDescent="0.3">
      <c r="A25">
        <v>111</v>
      </c>
      <c r="B25">
        <v>67</v>
      </c>
    </row>
    <row r="26" spans="1:2" x14ac:dyDescent="0.3">
      <c r="A26">
        <v>111</v>
      </c>
      <c r="B26">
        <v>68</v>
      </c>
    </row>
    <row r="27" spans="1:2" x14ac:dyDescent="0.3">
      <c r="A27">
        <v>112</v>
      </c>
      <c r="B27">
        <v>69</v>
      </c>
    </row>
    <row r="28" spans="1:2" x14ac:dyDescent="0.3">
      <c r="A28">
        <v>112</v>
      </c>
      <c r="B28">
        <v>70</v>
      </c>
    </row>
    <row r="29" spans="1:2" x14ac:dyDescent="0.3">
      <c r="A29">
        <v>113</v>
      </c>
      <c r="B29">
        <v>71</v>
      </c>
    </row>
    <row r="30" spans="1:2" x14ac:dyDescent="0.3">
      <c r="A30">
        <v>113</v>
      </c>
      <c r="B30">
        <v>72</v>
      </c>
    </row>
    <row r="31" spans="1:2" x14ac:dyDescent="0.3">
      <c r="A31">
        <v>114</v>
      </c>
      <c r="B31">
        <v>73</v>
      </c>
    </row>
    <row r="32" spans="1:2" x14ac:dyDescent="0.3">
      <c r="A32">
        <v>114</v>
      </c>
      <c r="B32">
        <v>74</v>
      </c>
    </row>
    <row r="33" spans="1:2" x14ac:dyDescent="0.3">
      <c r="A33">
        <v>115</v>
      </c>
      <c r="B33">
        <v>75</v>
      </c>
    </row>
    <row r="34" spans="1:2" x14ac:dyDescent="0.3">
      <c r="A34">
        <v>115</v>
      </c>
      <c r="B34">
        <v>76</v>
      </c>
    </row>
    <row r="35" spans="1:2" x14ac:dyDescent="0.3">
      <c r="A35">
        <v>116</v>
      </c>
      <c r="B35">
        <v>77</v>
      </c>
    </row>
    <row r="36" spans="1:2" x14ac:dyDescent="0.3">
      <c r="A36">
        <v>116</v>
      </c>
      <c r="B36">
        <v>78</v>
      </c>
    </row>
    <row r="37" spans="1:2" x14ac:dyDescent="0.3">
      <c r="A37">
        <v>117</v>
      </c>
      <c r="B37">
        <v>69</v>
      </c>
    </row>
    <row r="38" spans="1:2" x14ac:dyDescent="0.3">
      <c r="A38">
        <v>117</v>
      </c>
      <c r="B38">
        <v>79</v>
      </c>
    </row>
    <row r="39" spans="1:2" x14ac:dyDescent="0.3">
      <c r="A39">
        <v>118</v>
      </c>
      <c r="B39">
        <v>80</v>
      </c>
    </row>
    <row r="40" spans="1:2" x14ac:dyDescent="0.3">
      <c r="A40">
        <v>118</v>
      </c>
      <c r="B40">
        <v>81</v>
      </c>
    </row>
    <row r="41" spans="1:2" x14ac:dyDescent="0.3">
      <c r="A41">
        <v>119</v>
      </c>
      <c r="B41">
        <v>82</v>
      </c>
    </row>
    <row r="42" spans="1:2" x14ac:dyDescent="0.3">
      <c r="A42">
        <v>119</v>
      </c>
      <c r="B42">
        <v>83</v>
      </c>
    </row>
    <row r="43" spans="1:2" x14ac:dyDescent="0.3">
      <c r="A43">
        <v>120</v>
      </c>
      <c r="B43">
        <v>84</v>
      </c>
    </row>
    <row r="44" spans="1:2" x14ac:dyDescent="0.3">
      <c r="A44">
        <v>120</v>
      </c>
      <c r="B44">
        <v>85</v>
      </c>
    </row>
    <row r="45" spans="1:2" x14ac:dyDescent="0.3">
      <c r="A45">
        <v>121</v>
      </c>
      <c r="B45">
        <v>86</v>
      </c>
    </row>
    <row r="46" spans="1:2" x14ac:dyDescent="0.3">
      <c r="A46">
        <v>121</v>
      </c>
      <c r="B46">
        <v>87</v>
      </c>
    </row>
    <row r="47" spans="1:2" x14ac:dyDescent="0.3">
      <c r="A47">
        <v>122</v>
      </c>
      <c r="B47">
        <v>88</v>
      </c>
    </row>
    <row r="48" spans="1:2" x14ac:dyDescent="0.3">
      <c r="A48">
        <v>122</v>
      </c>
      <c r="B48">
        <v>89</v>
      </c>
    </row>
    <row r="49" spans="1:2" x14ac:dyDescent="0.3">
      <c r="A49">
        <v>123</v>
      </c>
      <c r="B49">
        <v>90</v>
      </c>
    </row>
    <row r="50" spans="1:2" x14ac:dyDescent="0.3">
      <c r="A50">
        <v>123</v>
      </c>
      <c r="B50">
        <v>91</v>
      </c>
    </row>
    <row r="51" spans="1:2" x14ac:dyDescent="0.3">
      <c r="A51">
        <v>124</v>
      </c>
      <c r="B51">
        <v>92</v>
      </c>
    </row>
    <row r="52" spans="1:2" x14ac:dyDescent="0.3">
      <c r="A52">
        <v>124</v>
      </c>
      <c r="B52">
        <v>93</v>
      </c>
    </row>
    <row r="53" spans="1:2" x14ac:dyDescent="0.3">
      <c r="A53">
        <v>125</v>
      </c>
      <c r="B53">
        <v>94</v>
      </c>
    </row>
    <row r="54" spans="1:2" x14ac:dyDescent="0.3">
      <c r="A54">
        <v>125</v>
      </c>
      <c r="B54">
        <v>95</v>
      </c>
    </row>
    <row r="55" spans="1:2" x14ac:dyDescent="0.3">
      <c r="A55">
        <v>125</v>
      </c>
      <c r="B55">
        <v>54</v>
      </c>
    </row>
    <row r="56" spans="1:2" x14ac:dyDescent="0.3">
      <c r="A56">
        <v>126</v>
      </c>
      <c r="B56">
        <v>94</v>
      </c>
    </row>
    <row r="57" spans="1:2" x14ac:dyDescent="0.3">
      <c r="A57">
        <v>126</v>
      </c>
      <c r="B57">
        <v>95</v>
      </c>
    </row>
    <row r="58" spans="1:2" x14ac:dyDescent="0.3">
      <c r="A58">
        <v>126</v>
      </c>
      <c r="B58">
        <v>54</v>
      </c>
    </row>
    <row r="59" spans="1:2" x14ac:dyDescent="0.3">
      <c r="A59">
        <v>127</v>
      </c>
      <c r="B59">
        <v>150</v>
      </c>
    </row>
    <row r="60" spans="1:2" x14ac:dyDescent="0.3">
      <c r="A60">
        <v>127</v>
      </c>
      <c r="B60">
        <v>151</v>
      </c>
    </row>
    <row r="61" spans="1:2" x14ac:dyDescent="0.3">
      <c r="A61">
        <v>128</v>
      </c>
      <c r="B61">
        <v>61</v>
      </c>
    </row>
    <row r="62" spans="1:2" x14ac:dyDescent="0.3">
      <c r="A62">
        <v>128</v>
      </c>
      <c r="B62">
        <v>152</v>
      </c>
    </row>
    <row r="63" spans="1:2" x14ac:dyDescent="0.3">
      <c r="A63">
        <v>129</v>
      </c>
      <c r="B63">
        <v>51</v>
      </c>
    </row>
    <row r="64" spans="1:2" x14ac:dyDescent="0.3">
      <c r="A64">
        <v>129</v>
      </c>
      <c r="B64">
        <v>153</v>
      </c>
    </row>
    <row r="65" spans="1:2" x14ac:dyDescent="0.3">
      <c r="A65">
        <v>130</v>
      </c>
      <c r="B65">
        <v>61</v>
      </c>
    </row>
    <row r="66" spans="1:2" x14ac:dyDescent="0.3">
      <c r="A66">
        <v>130</v>
      </c>
      <c r="B66">
        <v>154</v>
      </c>
    </row>
    <row r="67" spans="1:2" x14ac:dyDescent="0.3">
      <c r="A67">
        <v>131</v>
      </c>
      <c r="B67">
        <v>155</v>
      </c>
    </row>
    <row r="68" spans="1:2" x14ac:dyDescent="0.3">
      <c r="A68">
        <v>131</v>
      </c>
      <c r="B68">
        <v>154</v>
      </c>
    </row>
    <row r="69" spans="1:2" x14ac:dyDescent="0.3">
      <c r="A69">
        <v>132</v>
      </c>
      <c r="B69">
        <v>156</v>
      </c>
    </row>
    <row r="70" spans="1:2" x14ac:dyDescent="0.3">
      <c r="A70">
        <v>132</v>
      </c>
      <c r="B70">
        <v>157</v>
      </c>
    </row>
    <row r="71" spans="1:2" x14ac:dyDescent="0.3">
      <c r="A71">
        <v>133</v>
      </c>
      <c r="B71">
        <v>158</v>
      </c>
    </row>
    <row r="72" spans="1:2" x14ac:dyDescent="0.3">
      <c r="A72">
        <v>133</v>
      </c>
      <c r="B72">
        <v>159</v>
      </c>
    </row>
    <row r="73" spans="1:2" x14ac:dyDescent="0.3">
      <c r="A73">
        <v>134</v>
      </c>
      <c r="B73">
        <v>160</v>
      </c>
    </row>
    <row r="74" spans="1:2" x14ac:dyDescent="0.3">
      <c r="A74">
        <v>134</v>
      </c>
      <c r="B74">
        <v>161</v>
      </c>
    </row>
    <row r="75" spans="1:2" x14ac:dyDescent="0.3">
      <c r="A75">
        <v>135</v>
      </c>
      <c r="B75">
        <v>162</v>
      </c>
    </row>
    <row r="76" spans="1:2" x14ac:dyDescent="0.3">
      <c r="A76">
        <v>135</v>
      </c>
      <c r="B76">
        <v>163</v>
      </c>
    </row>
    <row r="77" spans="1:2" x14ac:dyDescent="0.3">
      <c r="A77">
        <v>136</v>
      </c>
      <c r="B77">
        <v>164</v>
      </c>
    </row>
    <row r="78" spans="1:2" x14ac:dyDescent="0.3">
      <c r="A78">
        <v>136</v>
      </c>
      <c r="B78">
        <v>165</v>
      </c>
    </row>
    <row r="79" spans="1:2" x14ac:dyDescent="0.3">
      <c r="A79">
        <v>137</v>
      </c>
      <c r="B79">
        <v>95</v>
      </c>
    </row>
    <row r="80" spans="1:2" x14ac:dyDescent="0.3">
      <c r="A80">
        <v>137</v>
      </c>
      <c r="B80">
        <v>166</v>
      </c>
    </row>
    <row r="81" spans="1:2" x14ac:dyDescent="0.3">
      <c r="A81">
        <v>138</v>
      </c>
      <c r="B81">
        <v>95</v>
      </c>
    </row>
    <row r="82" spans="1:2" x14ac:dyDescent="0.3">
      <c r="A82">
        <v>138</v>
      </c>
      <c r="B82">
        <v>167</v>
      </c>
    </row>
    <row r="83" spans="1:2" x14ac:dyDescent="0.3">
      <c r="A83">
        <v>139</v>
      </c>
      <c r="B83">
        <v>164</v>
      </c>
    </row>
    <row r="84" spans="1:2" x14ac:dyDescent="0.3">
      <c r="A84">
        <v>139</v>
      </c>
      <c r="B84">
        <v>168</v>
      </c>
    </row>
    <row r="85" spans="1:2" x14ac:dyDescent="0.3">
      <c r="A85">
        <v>140</v>
      </c>
      <c r="B85">
        <v>169</v>
      </c>
    </row>
    <row r="86" spans="1:2" x14ac:dyDescent="0.3">
      <c r="A86">
        <v>140</v>
      </c>
      <c r="B86">
        <v>170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2F15D-C7E5-45CD-9337-3706D6E911A4}">
  <dimension ref="A1:B9"/>
  <sheetViews>
    <sheetView zoomScale="160" zoomScaleNormal="160" workbookViewId="0">
      <selection activeCell="B4" sqref="B4"/>
    </sheetView>
  </sheetViews>
  <sheetFormatPr defaultRowHeight="14.4" x14ac:dyDescent="0.3"/>
  <cols>
    <col min="1" max="1" width="12.44140625" customWidth="1"/>
  </cols>
  <sheetData>
    <row r="1" spans="1:2" x14ac:dyDescent="0.3">
      <c r="A1" s="2" t="s">
        <v>4</v>
      </c>
      <c r="B1" s="2" t="s">
        <v>35</v>
      </c>
    </row>
    <row r="2" spans="1:2" x14ac:dyDescent="0.3">
      <c r="A2">
        <v>1</v>
      </c>
      <c r="B2" t="s">
        <v>104</v>
      </c>
    </row>
    <row r="3" spans="1:2" x14ac:dyDescent="0.3">
      <c r="A3">
        <v>2</v>
      </c>
      <c r="B3" t="s">
        <v>105</v>
      </c>
    </row>
    <row r="4" spans="1:2" x14ac:dyDescent="0.3">
      <c r="A4">
        <v>3</v>
      </c>
      <c r="B4" t="s">
        <v>106</v>
      </c>
    </row>
    <row r="5" spans="1:2" x14ac:dyDescent="0.3">
      <c r="A5">
        <v>4</v>
      </c>
      <c r="B5" t="s">
        <v>107</v>
      </c>
    </row>
    <row r="6" spans="1:2" x14ac:dyDescent="0.3">
      <c r="A6">
        <v>5</v>
      </c>
      <c r="B6" t="s">
        <v>108</v>
      </c>
    </row>
    <row r="7" spans="1:2" x14ac:dyDescent="0.3">
      <c r="A7">
        <v>6</v>
      </c>
      <c r="B7" t="s">
        <v>109</v>
      </c>
    </row>
    <row r="8" spans="1:2" x14ac:dyDescent="0.3">
      <c r="A8">
        <v>7</v>
      </c>
      <c r="B8" t="s">
        <v>110</v>
      </c>
    </row>
    <row r="9" spans="1:2" x14ac:dyDescent="0.3">
      <c r="A9">
        <v>8</v>
      </c>
      <c r="B9" t="s">
        <v>111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674B2-6C74-480D-B3AB-43E6B18BBD09}">
  <dimension ref="B2:G8"/>
  <sheetViews>
    <sheetView zoomScale="190" zoomScaleNormal="190" workbookViewId="0">
      <selection activeCell="F6" sqref="F6"/>
    </sheetView>
  </sheetViews>
  <sheetFormatPr defaultRowHeight="14.4" x14ac:dyDescent="0.3"/>
  <cols>
    <col min="2" max="2" width="13.5546875" customWidth="1"/>
    <col min="3" max="3" width="21.77734375" customWidth="1"/>
    <col min="4" max="4" width="12.44140625" customWidth="1"/>
    <col min="5" max="5" width="13.33203125" customWidth="1"/>
    <col min="6" max="6" width="15.6640625" customWidth="1"/>
  </cols>
  <sheetData>
    <row r="2" spans="2:7" x14ac:dyDescent="0.3">
      <c r="B2" t="s">
        <v>174</v>
      </c>
      <c r="C2" t="s">
        <v>175</v>
      </c>
      <c r="D2" t="s">
        <v>181</v>
      </c>
      <c r="E2" t="s">
        <v>182</v>
      </c>
      <c r="F2" t="s">
        <v>183</v>
      </c>
    </row>
    <row r="3" spans="2:7" x14ac:dyDescent="0.3">
      <c r="B3" t="s">
        <v>176</v>
      </c>
      <c r="C3" s="12">
        <f>SUMIF(Movies[studio],"Marvel Studios",Movies[revenue USD])</f>
        <v>9054.6</v>
      </c>
      <c r="D3" s="12">
        <v>8000</v>
      </c>
      <c r="E3" s="12">
        <f>C3-D3</f>
        <v>1054.6000000000004</v>
      </c>
      <c r="F3" s="7">
        <f>E3/C3</f>
        <v>0.11647118591655074</v>
      </c>
      <c r="G3" t="s">
        <v>184</v>
      </c>
    </row>
    <row r="4" spans="2:7" x14ac:dyDescent="0.3">
      <c r="B4" t="s">
        <v>177</v>
      </c>
      <c r="C4" s="12">
        <f>SUMIF(Movies[studio],"Marvel Studios",Movies[budget])</f>
        <v>1988.7</v>
      </c>
      <c r="D4" s="12">
        <v>2000</v>
      </c>
      <c r="E4" s="12">
        <f t="shared" ref="E4:E7" si="0">C4-D4</f>
        <v>-11.299999999999955</v>
      </c>
      <c r="F4" s="7">
        <f t="shared" ref="F4:F7" si="1">E4/C4</f>
        <v>-5.6821038869613082E-3</v>
      </c>
    </row>
    <row r="5" spans="2:7" x14ac:dyDescent="0.3">
      <c r="B5" t="s">
        <v>178</v>
      </c>
      <c r="C5" s="12">
        <f>C3-C4</f>
        <v>7065.9000000000005</v>
      </c>
      <c r="D5" s="12">
        <v>6000</v>
      </c>
      <c r="E5" s="12">
        <f t="shared" si="0"/>
        <v>1065.9000000000005</v>
      </c>
      <c r="F5" s="7">
        <f t="shared" si="1"/>
        <v>0.15085127160022085</v>
      </c>
    </row>
    <row r="6" spans="2:7" x14ac:dyDescent="0.3">
      <c r="B6" t="s">
        <v>179</v>
      </c>
      <c r="C6" s="7">
        <f>C5/C4</f>
        <v>3.5530245889274403</v>
      </c>
      <c r="D6" s="10">
        <f>D5/D4</f>
        <v>3</v>
      </c>
      <c r="E6" s="7">
        <f t="shared" si="0"/>
        <v>0.55302458892744033</v>
      </c>
      <c r="F6" s="7">
        <f t="shared" si="1"/>
        <v>0.15564896191567959</v>
      </c>
    </row>
    <row r="7" spans="2:7" x14ac:dyDescent="0.3">
      <c r="B7" t="s">
        <v>180</v>
      </c>
      <c r="C7" s="7">
        <f>C3/SUMIF(Movies[industry],"Hollywood",Movies[revenue USD])</f>
        <v>0.48738554949698293</v>
      </c>
      <c r="D7" s="11">
        <v>0.55000000000000004</v>
      </c>
      <c r="E7" s="7">
        <f t="shared" si="0"/>
        <v>-6.2614450503017116E-2</v>
      </c>
      <c r="F7" s="7">
        <f t="shared" si="1"/>
        <v>-0.12847005941731293</v>
      </c>
    </row>
    <row r="8" spans="2:7" x14ac:dyDescent="0.3">
      <c r="C8" s="7"/>
    </row>
  </sheetData>
  <conditionalFormatting sqref="F2:F7">
    <cfRule type="cellIs" dxfId="4" priority="1" operator="lessThan">
      <formula>-0.1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BDD1-198C-4B20-A1F3-1C747AC006BE}">
  <dimension ref="B4:J24"/>
  <sheetViews>
    <sheetView tabSelected="1" topLeftCell="A7" zoomScale="175" zoomScaleNormal="175" workbookViewId="0">
      <selection activeCell="J20" sqref="J20"/>
    </sheetView>
  </sheetViews>
  <sheetFormatPr defaultRowHeight="14.4" x14ac:dyDescent="0.3"/>
  <cols>
    <col min="3" max="3" width="13.5546875" customWidth="1"/>
    <col min="4" max="4" width="12.33203125" customWidth="1"/>
    <col min="6" max="6" width="13.5546875" customWidth="1"/>
    <col min="9" max="9" width="10.88671875" customWidth="1"/>
    <col min="10" max="10" width="13.88671875" customWidth="1"/>
  </cols>
  <sheetData>
    <row r="4" spans="2:10" x14ac:dyDescent="0.3">
      <c r="B4" t="s">
        <v>186</v>
      </c>
      <c r="C4" s="13">
        <f>AVERAGE(Movies[rating])</f>
        <v>7.9473684210526319</v>
      </c>
    </row>
    <row r="5" spans="2:10" x14ac:dyDescent="0.3">
      <c r="B5" t="s">
        <v>187</v>
      </c>
      <c r="C5">
        <f>MEDIAN(Movies[rating])</f>
        <v>8.1</v>
      </c>
    </row>
    <row r="6" spans="2:10" x14ac:dyDescent="0.3">
      <c r="B6" t="s">
        <v>188</v>
      </c>
      <c r="C6">
        <f>MODE(Movies[rating])</f>
        <v>8.4</v>
      </c>
    </row>
    <row r="8" spans="2:10" x14ac:dyDescent="0.3">
      <c r="B8" t="s">
        <v>189</v>
      </c>
    </row>
    <row r="9" spans="2:10" x14ac:dyDescent="0.3">
      <c r="B9" s="15" t="s">
        <v>200</v>
      </c>
      <c r="C9" s="15"/>
      <c r="H9" t="s">
        <v>202</v>
      </c>
    </row>
    <row r="11" spans="2:10" x14ac:dyDescent="0.3">
      <c r="B11" s="14" t="s">
        <v>190</v>
      </c>
      <c r="C11" s="14" t="s">
        <v>198</v>
      </c>
      <c r="D11" s="14" t="s">
        <v>204</v>
      </c>
      <c r="E11" s="14" t="s">
        <v>203</v>
      </c>
      <c r="H11" s="14" t="s">
        <v>190</v>
      </c>
      <c r="I11" s="14" t="s">
        <v>198</v>
      </c>
      <c r="J11" s="14"/>
    </row>
    <row r="12" spans="2:10" x14ac:dyDescent="0.3">
      <c r="B12" t="s">
        <v>191</v>
      </c>
      <c r="C12">
        <v>71</v>
      </c>
      <c r="D12">
        <f>Table6[[#This Row],[Yearly Income]]-juganda_mean_income</f>
        <v>9</v>
      </c>
      <c r="E12">
        <f>Table6[[#This Row],[Income-Avg ]]*Table6[[#This Row],[Income-Avg ]]</f>
        <v>81</v>
      </c>
      <c r="H12" t="s">
        <v>191</v>
      </c>
      <c r="I12">
        <v>99</v>
      </c>
      <c r="J12" s="16">
        <f>I12-Krance_Mena</f>
        <v>37</v>
      </c>
    </row>
    <row r="13" spans="2:10" x14ac:dyDescent="0.3">
      <c r="B13" t="s">
        <v>192</v>
      </c>
      <c r="C13">
        <v>62</v>
      </c>
      <c r="D13">
        <f>Table6[[#This Row],[Yearly Income]]-juganda_mean_income</f>
        <v>0</v>
      </c>
      <c r="E13">
        <f>Table6[[#This Row],[Income-Avg ]]*Table6[[#This Row],[Income-Avg ]]</f>
        <v>0</v>
      </c>
      <c r="H13" t="s">
        <v>192</v>
      </c>
      <c r="I13">
        <v>14</v>
      </c>
      <c r="J13" s="16">
        <f>I13-Krance_Mena</f>
        <v>-48</v>
      </c>
    </row>
    <row r="14" spans="2:10" x14ac:dyDescent="0.3">
      <c r="B14" t="s">
        <v>193</v>
      </c>
      <c r="C14">
        <v>66</v>
      </c>
      <c r="D14">
        <f>Table6[[#This Row],[Yearly Income]]-juganda_mean_income</f>
        <v>4</v>
      </c>
      <c r="E14">
        <f>Table6[[#This Row],[Income-Avg ]]*Table6[[#This Row],[Income-Avg ]]</f>
        <v>16</v>
      </c>
      <c r="H14" t="s">
        <v>193</v>
      </c>
      <c r="I14">
        <v>75</v>
      </c>
      <c r="J14" s="16">
        <f>I14-Krance_Mena</f>
        <v>13</v>
      </c>
    </row>
    <row r="15" spans="2:10" x14ac:dyDescent="0.3">
      <c r="B15" t="s">
        <v>194</v>
      </c>
      <c r="C15">
        <v>61</v>
      </c>
      <c r="D15">
        <f>Table6[[#This Row],[Yearly Income]]-juganda_mean_income</f>
        <v>-1</v>
      </c>
      <c r="E15">
        <f>Table6[[#This Row],[Income-Avg ]]*Table6[[#This Row],[Income-Avg ]]</f>
        <v>1</v>
      </c>
      <c r="H15" t="s">
        <v>194</v>
      </c>
      <c r="I15">
        <v>84</v>
      </c>
      <c r="J15" s="16">
        <f>I15-Krance_Mena</f>
        <v>22</v>
      </c>
    </row>
    <row r="16" spans="2:10" x14ac:dyDescent="0.3">
      <c r="B16" t="s">
        <v>195</v>
      </c>
      <c r="C16">
        <v>54</v>
      </c>
      <c r="D16">
        <f>Table6[[#This Row],[Yearly Income]]-juganda_mean_income</f>
        <v>-8</v>
      </c>
      <c r="E16">
        <f>Table6[[#This Row],[Income-Avg ]]*Table6[[#This Row],[Income-Avg ]]</f>
        <v>64</v>
      </c>
      <c r="H16" t="s">
        <v>195</v>
      </c>
      <c r="I16">
        <v>44</v>
      </c>
      <c r="J16" s="16">
        <f>I16-Krance_Mena</f>
        <v>-18</v>
      </c>
    </row>
    <row r="17" spans="2:10" x14ac:dyDescent="0.3">
      <c r="B17" t="s">
        <v>196</v>
      </c>
      <c r="C17">
        <v>67</v>
      </c>
      <c r="D17">
        <f>Table6[[#This Row],[Yearly Income]]-juganda_mean_income</f>
        <v>5</v>
      </c>
      <c r="E17">
        <f>Table6[[#This Row],[Income-Avg ]]*Table6[[#This Row],[Income-Avg ]]</f>
        <v>25</v>
      </c>
      <c r="H17" t="s">
        <v>196</v>
      </c>
      <c r="I17">
        <v>54</v>
      </c>
      <c r="J17" s="16">
        <f>I17-Krance_Mena</f>
        <v>-8</v>
      </c>
    </row>
    <row r="18" spans="2:10" x14ac:dyDescent="0.3">
      <c r="B18" t="s">
        <v>197</v>
      </c>
      <c r="C18">
        <v>55</v>
      </c>
      <c r="D18">
        <f>Table6[[#This Row],[Yearly Income]]-juganda_mean_income</f>
        <v>-7</v>
      </c>
      <c r="E18">
        <f>Table6[[#This Row],[Income-Avg ]]*Table6[[#This Row],[Income-Avg ]]</f>
        <v>49</v>
      </c>
      <c r="H18" t="s">
        <v>197</v>
      </c>
      <c r="I18">
        <v>98</v>
      </c>
      <c r="J18" s="16">
        <f>I18-Krance_Mena</f>
        <v>36</v>
      </c>
    </row>
    <row r="19" spans="2:10" x14ac:dyDescent="0.3">
      <c r="B19" t="s">
        <v>199</v>
      </c>
      <c r="C19">
        <v>60</v>
      </c>
      <c r="D19">
        <f>Table6[[#This Row],[Yearly Income]]-juganda_mean_income</f>
        <v>-2</v>
      </c>
      <c r="E19">
        <f>Table6[[#This Row],[Income-Avg ]]*Table6[[#This Row],[Income-Avg ]]</f>
        <v>4</v>
      </c>
      <c r="H19" t="s">
        <v>199</v>
      </c>
      <c r="I19">
        <v>28</v>
      </c>
      <c r="J19" s="16">
        <f>I19-Krance_Mena</f>
        <v>-34</v>
      </c>
    </row>
    <row r="20" spans="2:10" x14ac:dyDescent="0.3">
      <c r="D20" s="17"/>
      <c r="E20" s="17">
        <f>SUM(E12:E19)</f>
        <v>240</v>
      </c>
    </row>
    <row r="21" spans="2:10" x14ac:dyDescent="0.3">
      <c r="B21" t="s">
        <v>201</v>
      </c>
      <c r="C21">
        <f>AVERAGE(Table6[Yearly Income])</f>
        <v>62</v>
      </c>
      <c r="H21" t="s">
        <v>201</v>
      </c>
      <c r="I21" s="16">
        <f>AVERAGE(Stats!$I$12:$I$19)</f>
        <v>62</v>
      </c>
    </row>
    <row r="23" spans="2:10" x14ac:dyDescent="0.3">
      <c r="D23" t="s">
        <v>205</v>
      </c>
      <c r="E23">
        <f>COUNT(Table6[Square])</f>
        <v>8</v>
      </c>
    </row>
    <row r="24" spans="2:10" x14ac:dyDescent="0.3">
      <c r="D24" s="18" t="s">
        <v>189</v>
      </c>
      <c r="E24" s="18">
        <f>Table6[[#Totals],[Square]]/E23</f>
        <v>30</v>
      </c>
    </row>
  </sheetData>
  <mergeCells count="1">
    <mergeCell ref="B9:C9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297aa2-77d1-4586-9726-07d56a535ee7" xsi:nil="true"/>
    <lcf76f155ced4ddcb4097134ff3c332f xmlns="631564f6-0349-4cc5-b00d-7cf3ba42f824">
      <Terms xmlns="http://schemas.microsoft.com/office/infopath/2007/PartnerControls"/>
    </lcf76f155ced4ddcb4097134ff3c332f>
    <MediaLengthInSeconds xmlns="631564f6-0349-4cc5-b00d-7cf3ba42f824" xsi:nil="true"/>
    <SharedWithUsers xmlns="46297aa2-77d1-4586-9726-07d56a535ee7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6C0266E115364AA9B96DE5BECF7DB6" ma:contentTypeVersion="14" ma:contentTypeDescription="Create a new document." ma:contentTypeScope="" ma:versionID="c921848065db5a49d1de2391ec81580e">
  <xsd:schema xmlns:xsd="http://www.w3.org/2001/XMLSchema" xmlns:xs="http://www.w3.org/2001/XMLSchema" xmlns:p="http://schemas.microsoft.com/office/2006/metadata/properties" xmlns:ns2="631564f6-0349-4cc5-b00d-7cf3ba42f824" xmlns:ns3="46297aa2-77d1-4586-9726-07d56a535ee7" targetNamespace="http://schemas.microsoft.com/office/2006/metadata/properties" ma:root="true" ma:fieldsID="ff9dd1b7eff9d7fccc1b7fb333026bb0" ns2:_="" ns3:_="">
    <xsd:import namespace="631564f6-0349-4cc5-b00d-7cf3ba42f824"/>
    <xsd:import namespace="46297aa2-77d1-4586-9726-07d56a535e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1564f6-0349-4cc5-b00d-7cf3ba42f8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afd9a293-139f-4208-837f-2845fada89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297aa2-77d1-4586-9726-07d56a535ee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3f7f984-84d1-4adc-8904-137f404b280a}" ma:internalName="TaxCatchAll" ma:showField="CatchAllData" ma:web="46297aa2-77d1-4586-9726-07d56a535e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EFF9027-FBEF-4910-8EE6-13D64012C7E9}">
  <ds:schemaRefs>
    <ds:schemaRef ds:uri="http://schemas.microsoft.com/office/2006/metadata/properties"/>
    <ds:schemaRef ds:uri="http://schemas.microsoft.com/office/infopath/2007/PartnerControls"/>
    <ds:schemaRef ds:uri="46297aa2-77d1-4586-9726-07d56a535ee7"/>
    <ds:schemaRef ds:uri="631564f6-0349-4cc5-b00d-7cf3ba42f824"/>
  </ds:schemaRefs>
</ds:datastoreItem>
</file>

<file path=customXml/itemProps2.xml><?xml version="1.0" encoding="utf-8"?>
<ds:datastoreItem xmlns:ds="http://schemas.openxmlformats.org/officeDocument/2006/customXml" ds:itemID="{E6C97D6F-A515-40FC-959A-7BC863F10C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BA008F-2FD2-4901-8027-A024DA31C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1564f6-0349-4cc5-b00d-7cf3ba42f824"/>
    <ds:schemaRef ds:uri="46297aa2-77d1-4586-9726-07d56a535e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movies</vt:lpstr>
      <vt:lpstr>financials</vt:lpstr>
      <vt:lpstr>actors</vt:lpstr>
      <vt:lpstr>movie_actor</vt:lpstr>
      <vt:lpstr>languages</vt:lpstr>
      <vt:lpstr>Marvel Financials</vt:lpstr>
      <vt:lpstr>Stats</vt:lpstr>
      <vt:lpstr>juganda_mean_income</vt:lpstr>
      <vt:lpstr>Krance_Mena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Dhaval Patel</dc:creator>
  <cp:lastModifiedBy>Shifa Siddiqui</cp:lastModifiedBy>
  <dcterms:created xsi:type="dcterms:W3CDTF">2015-06-05T18:17:20Z</dcterms:created>
  <dcterms:modified xsi:type="dcterms:W3CDTF">2025-12-11T15:14:46Z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0x010100686C0266E115364AA9B96DE5BECF7DB6</vt:lpwstr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