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E5E20F18-286B-42F1-BD09-8250E60A6E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1" l="1" a="1"/>
  <c r="J2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M39" i="1" l="1"/>
  <c r="O39" i="1" s="1"/>
  <c r="M35" i="1"/>
  <c r="O35" i="1" s="1"/>
  <c r="M31" i="1"/>
  <c r="O31" i="1" s="1"/>
  <c r="M38" i="1"/>
  <c r="O38" i="1" s="1"/>
  <c r="M34" i="1"/>
  <c r="O34" i="1" s="1"/>
  <c r="M30" i="1"/>
  <c r="O30" i="1" s="1"/>
  <c r="M25" i="1"/>
  <c r="O25" i="1" s="1"/>
  <c r="M21" i="1"/>
  <c r="O21" i="1" s="1"/>
  <c r="L17" i="1"/>
  <c r="N17" i="1" s="1"/>
  <c r="M13" i="1"/>
  <c r="O13" i="1" s="1"/>
  <c r="M9" i="1"/>
  <c r="O9" i="1" s="1"/>
  <c r="M5" i="1"/>
  <c r="O5" i="1" s="1"/>
  <c r="M17" i="1"/>
  <c r="O17" i="1" s="1"/>
  <c r="L13" i="1"/>
  <c r="N13" i="1" s="1"/>
  <c r="L37" i="1"/>
  <c r="N37" i="1" s="1"/>
  <c r="L33" i="1"/>
  <c r="N33" i="1" s="1"/>
  <c r="M28" i="1"/>
  <c r="O28" i="1" s="1"/>
  <c r="M24" i="1"/>
  <c r="O24" i="1" s="1"/>
  <c r="M20" i="1"/>
  <c r="O20" i="1" s="1"/>
  <c r="M16" i="1"/>
  <c r="O16" i="1" s="1"/>
  <c r="M12" i="1"/>
  <c r="O12" i="1" s="1"/>
  <c r="M8" i="1"/>
  <c r="O8" i="1" s="1"/>
  <c r="M4" i="1"/>
  <c r="O4" i="1" s="1"/>
  <c r="M29" i="1"/>
  <c r="O29" i="1" s="1"/>
  <c r="M40" i="1"/>
  <c r="O40" i="1" s="1"/>
  <c r="M36" i="1"/>
  <c r="O36" i="1" s="1"/>
  <c r="M32" i="1"/>
  <c r="O32" i="1" s="1"/>
  <c r="M37" i="1"/>
  <c r="O37" i="1" s="1"/>
  <c r="L2" i="1"/>
  <c r="N2" i="1" s="1"/>
  <c r="L27" i="1"/>
  <c r="N27" i="1" s="1"/>
  <c r="L23" i="1"/>
  <c r="N23" i="1" s="1"/>
  <c r="L19" i="1"/>
  <c r="N19" i="1" s="1"/>
  <c r="L15" i="1"/>
  <c r="N15" i="1" s="1"/>
  <c r="L11" i="1"/>
  <c r="N11" i="1" s="1"/>
  <c r="L7" i="1"/>
  <c r="N7" i="1" s="1"/>
  <c r="L3" i="1"/>
  <c r="N3" i="1" s="1"/>
  <c r="M33" i="1"/>
  <c r="O33" i="1" s="1"/>
  <c r="L26" i="1"/>
  <c r="N26" i="1" s="1"/>
  <c r="L22" i="1"/>
  <c r="N22" i="1" s="1"/>
  <c r="L18" i="1"/>
  <c r="N18" i="1" s="1"/>
  <c r="L14" i="1"/>
  <c r="N14" i="1" s="1"/>
  <c r="L10" i="1"/>
  <c r="N10" i="1" s="1"/>
  <c r="L6" i="1"/>
  <c r="N6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L25" i="1"/>
  <c r="N25" i="1" s="1"/>
  <c r="L21" i="1"/>
  <c r="N21" i="1" s="1"/>
  <c r="L9" i="1"/>
  <c r="N9" i="1" s="1"/>
  <c r="L5" i="1"/>
  <c r="N5" i="1" s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2" i="1"/>
  <c r="O2" i="1" s="1"/>
  <c r="L36" i="1"/>
  <c r="N36" i="1" s="1"/>
  <c r="L39" i="1"/>
  <c r="N39" i="1" s="1"/>
  <c r="L31" i="1"/>
  <c r="N31" i="1" s="1"/>
  <c r="L38" i="1"/>
  <c r="N38" i="1" s="1"/>
  <c r="L34" i="1"/>
  <c r="N34" i="1" s="1"/>
  <c r="L30" i="1"/>
  <c r="N30" i="1" s="1"/>
  <c r="L40" i="1"/>
  <c r="N40" i="1" s="1"/>
  <c r="L32" i="1"/>
  <c r="N32" i="1" s="1"/>
  <c r="L35" i="1"/>
  <c r="N35" i="1" s="1"/>
  <c r="L28" i="1"/>
  <c r="N28" i="1" s="1"/>
  <c r="L24" i="1"/>
  <c r="N24" i="1" s="1"/>
  <c r="L20" i="1"/>
  <c r="N20" i="1" s="1"/>
  <c r="L16" i="1"/>
  <c r="N16" i="1" s="1"/>
  <c r="L12" i="1"/>
  <c r="N12" i="1" s="1"/>
  <c r="L8" i="1"/>
  <c r="N8" i="1" s="1"/>
  <c r="L4" i="1"/>
  <c r="N4" i="1" s="1"/>
  <c r="L29" i="1"/>
  <c r="N29" i="1" s="1"/>
  <c r="D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<sst xmlns="http://schemas.openxmlformats.org/spreadsheetml/2006/main" count="301" uniqueCount="162">
  <si>
    <t>movie_id</t>
  </si>
  <si>
    <t>industry</t>
  </si>
  <si>
    <t>release_year</t>
  </si>
  <si>
    <t>imdb_rating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</si>
  <si>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</si>
  <si>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</si>
  <si>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</si>
  <si>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</si>
  <si>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</si>
  <si>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</si>
  <si>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</si>
  <si>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</si>
  <si>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</si>
  <si>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</si>
  <si>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</si>
  <si>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</si>
  <si>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</si>
  <si>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</si>
  <si>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</si>
  <si>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</si>
  <si>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</si>
  <si>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</si>
  <si>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</si>
  <si>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</si>
  <si>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</si>
  <si>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</si>
  <si>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</si>
  <si>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</si>
  <si>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</si>
  <si>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</si>
  <si>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</si>
  <si>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</si>
  <si>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</si>
  <si>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</si>
  <si>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</si>
  <si>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</si>
  <si>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</si>
  <si>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</si>
  <si>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</si>
  <si>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</si>
  <si>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</si>
  <si>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</si>
  <si>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</si>
  <si>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</si>
  <si>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</si>
  <si>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</si>
  <si>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</si>
  <si>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</si>
  <si>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</si>
  <si>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</si>
  <si>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</si>
  <si>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</si>
  <si>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</si>
  <si>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</si>
  <si>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</si>
  <si>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</si>
  <si>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</si>
  <si>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</si>
  <si>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</si>
  <si>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</si>
  <si>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</si>
  <si>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</si>
  <si>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</si>
  <si>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</si>
  <si>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</si>
  <si>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</si>
  <si>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</si>
  <si>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</si>
  <si>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</si>
  <si>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</si>
  <si>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</si>
  <si>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</si>
  <si>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</si>
  <si>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</si>
  <si>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</si>
  <si>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</si>
  <si>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</si>
  <si>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</si>
  <si>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</si>
  <si>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</si>
  <si>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</si>
  <si>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</si>
  <si>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</si>
  <si>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</si>
  <si>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</si>
  <si>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</si>
  <si>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</si>
  <si>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</si>
  <si>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</si>
  <si>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</si>
  <si>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</si>
  <si>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</si>
  <si>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</si>
  <si>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</si>
  <si>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</si>
  <si>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</si>
  <si>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</si>
  <si>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</si>
  <si>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</si>
  <si>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</si>
  <si>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</si>
  <si>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</si>
  <si>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</si>
  <si>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</si>
  <si>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</si>
  <si>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</si>
  <si>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</si>
  <si>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</si>
  <si>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</si>
  <si>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</si>
  <si>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</si>
  <si>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</si>
  <si>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</si>
  <si>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</si>
  <si>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</si>
  <si>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</si>
  <si>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</si>
  <si>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</si>
  <si>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</si>
  <si>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</si>
  <si>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</si>
  <si>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</si>
  <si>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</si>
  <si>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</si>
  <si>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</si>
  <si>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</si>
  <si>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</si>
  <si>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</si>
  <si>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</si>
  <si>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</si>
  <si>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</si>
  <si>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</si>
  <si>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</si>
  <si>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</si>
  <si>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</si>
  <si>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</si>
  <si>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</si>
  <si>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</si>
  <si>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</si>
  <si>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</si>
  <si>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</si>
  <si>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</si>
  <si>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</si>
  <si>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</si>
  <si>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</si>
  <si>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</si>
  <si>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</si>
  <si>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</si>
  <si>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</si>
  <si>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</si>
  <si>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</si>
  <si>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</si>
  <si>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</si>
  <si>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</si>
  <si>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</si>
  <si>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</si>
  <si>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</si>
  <si>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</si>
  <si>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revenue(mln)</t>
  </si>
  <si>
    <t>Budget INR</t>
  </si>
  <si>
    <t>revenue INR</t>
  </si>
  <si>
    <t>budget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</si>
</sst>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P40" totalsRowShown="0" headerRowDxfId="16">
  <autoFilter ref="A1:P40" xr:uid="{6A7FE39D-5614-4A7F-89B7-C167ABC0A251}"/>
  <tableColumns count="16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imdb_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5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14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13">
      <calculatedColumnFormula array="1">_xlfn.XLOOKUP(Movies[[#This Row],[movie_id]:[movie_id]],Financials[[#All],[movie_id]:[movie_id]],Financials[[#All],[currency]],"Not Available",0)</calculatedColumnFormula>
    </tableColumn>
    <tableColumn id="2" xr3:uid="{B6BA2A99-F066-40A3-9296-01B350CD5DE5}" name="budget mln" dataDxfId="12">
      <calculatedColumnFormula>IF(Movies[[#This Row],[unit]]="Billions",Movies[[#This Row],[budget]]*1000,Movies[[#This Row],[budget]])</calculatedColumnFormula>
    </tableColumn>
    <tableColumn id="9" xr3:uid="{841F225B-D322-48AC-BE94-2E0F69FBE86B}" name="revenue(mln)" dataDxfId="11">
      <calculatedColumnFormula>IF(Movies[[#This Row],[unit]]="Billions",Movies[[#This Row],[revenue]]*1000,Movies[[#This Row],[revenue]])</calculatedColumnFormula>
    </tableColumn>
    <tableColumn id="10" xr3:uid="{2C9C2DBC-3F47-4CF2-9E09-1DB82D0CB04A}" name="Budget INR" dataDxfId="2">
      <calculatedColumnFormula>IF(Movies[[#This Row],[currency]]="USD",Movies[[#This Row],[budget mln]]*80,Movies[[#This Row],[budget mln]])</calculatedColumnFormula>
    </tableColumn>
    <tableColumn id="11" xr3:uid="{3D2B3426-0E78-470F-993F-6813C3D42096}" name="revenue INR" dataDxfId="1">
      <calculatedColumnFormula>IF(Movies[[#This Row],[currency]]="USD",Movies[[#This Row],[revenue(mln)]]*80,Movies[[#This Row],[revenue(mln)]])</calculatedColumnFormula>
    </tableColumn>
    <tableColumn id="12" xr3:uid="{347EBD29-E933-41F3-A5AB-E48F095B91F3}" name="budget US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10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9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8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7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"/>
  <sheetViews>
    <sheetView tabSelected="1" topLeftCell="F1" zoomScale="119" zoomScaleNormal="100" workbookViewId="0">
      <selection activeCell="K9" sqref="K9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9" customWidth="1"/>
    <col min="5" max="5" width="11.6640625" customWidth="1"/>
    <col min="6" max="6" width="22" customWidth="1"/>
    <col min="7" max="7" width="7.77734375" customWidth="1"/>
    <col min="8" max="9" width="16.6640625" customWidth="1"/>
    <col min="10" max="10" width="13.109375" customWidth="1"/>
    <col min="12" max="12" width="12.6640625" customWidth="1"/>
    <col min="13" max="13" width="14.44140625" customWidth="1"/>
    <col min="14" max="14" width="17.5546875" customWidth="1"/>
    <col min="15" max="15" width="15.44140625" customWidth="1"/>
    <col min="16" max="16" width="13.5546875" customWidth="1"/>
  </cols>
  <sheetData>
    <row r="1" spans="1:16" x14ac:dyDescent="0.3">
      <c r="A1" s="1" t="s">
        <v>0</v>
      </c>
      <c r="B1" s="1" t="s">
        <v>156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</row>
    <row r="2" spans="1:16" x14ac:dyDescent="0.3">
      <c r="A2">
        <v>101</v>
      </c>
      <c r="B2" t="s">
        <v>117</v>
      </c>
      <c r="C2" t="s">
        <v>6</v>
      </c>
      <c r="D2">
        <v>2022</v>
      </c>
      <c r="E2">
        <v>8.4</v>
      </c>
      <c r="F2" t="s">
        <v>115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>
        <f>IF(Movies[[#This Row],[unit]]="Billions",Movies[[#This Row],[budget]]*1000,Movies[[#This Row],[budget]])</f>
        <v>1000</v>
      </c>
      <c r="M2">
        <f>IF(Movies[[#This Row],[unit]]="Billions",Movies[[#This Row],[revenue]]*1000,Movies[[#This Row],[revenue]])</f>
        <v>12500</v>
      </c>
      <c r="N2" s="3">
        <f>IF(Movies[[#This Row],[currency]]="USD",Movies[[#This Row],[budget mln]]*80,Movies[[#This Row],[budget mln]])</f>
        <v>1000</v>
      </c>
      <c r="O2" s="3">
        <f>IF(Movies[[#This Row],[currency]]="USD",Movies[[#This Row],[revenue(mln)]]*80,Movies[[#This Row],[revenue(mln)]])</f>
        <v>12500</v>
      </c>
      <c r="P2" s="3"/>
    </row>
    <row r="3" spans="1:16" x14ac:dyDescent="0.3">
      <c r="A3">
        <v>102</v>
      </c>
      <c r="B3" t="s">
        <v>118</v>
      </c>
      <c r="C3" t="s">
        <v>7</v>
      </c>
      <c r="D3">
        <v>2022</v>
      </c>
      <c r="E3">
        <v>7</v>
      </c>
      <c r="F3" t="s">
        <v>8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>
        <f>IF(Movies[[#This Row],[unit]]="Billions",Movies[[#This Row],[budget]]*1000,Movies[[#This Row],[budget]])</f>
        <v>200</v>
      </c>
      <c r="M3">
        <f>IF(Movies[[#This Row],[unit]]="Billions",Movies[[#This Row],[revenue]]*1000,Movies[[#This Row],[revenue]])</f>
        <v>954.8</v>
      </c>
      <c r="N3" s="3">
        <f>IF(Movies[[#This Row],[currency]]="USD",Movies[[#This Row],[budget mln]]*80,Movies[[#This Row],[budget mln]])</f>
        <v>16000</v>
      </c>
      <c r="O3" s="3">
        <f>IF(Movies[[#This Row],[currency]]="USD",Movies[[#This Row],[revenue(mln)]]*80,Movies[[#This Row],[revenue(mln)]])</f>
        <v>76384</v>
      </c>
      <c r="P3" s="3"/>
    </row>
    <row r="4" spans="1:16" x14ac:dyDescent="0.3">
      <c r="A4">
        <v>103</v>
      </c>
      <c r="B4" t="s">
        <v>119</v>
      </c>
      <c r="C4" t="s">
        <v>7</v>
      </c>
      <c r="D4">
        <v>2013</v>
      </c>
      <c r="E4">
        <v>6.8</v>
      </c>
      <c r="F4" t="s">
        <v>8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>
        <f>IF(Movies[[#This Row],[unit]]="Billions",Movies[[#This Row],[budget]]*1000,Movies[[#This Row],[budget]])</f>
        <v>165</v>
      </c>
      <c r="M4">
        <f>IF(Movies[[#This Row],[unit]]="Billions",Movies[[#This Row],[revenue]]*1000,Movies[[#This Row],[revenue]])</f>
        <v>644.79999999999995</v>
      </c>
      <c r="N4" s="3">
        <f>IF(Movies[[#This Row],[currency]]="USD",Movies[[#This Row],[budget mln]]*80,Movies[[#This Row],[budget mln]])</f>
        <v>13200</v>
      </c>
      <c r="O4" s="3">
        <f>IF(Movies[[#This Row],[currency]]="USD",Movies[[#This Row],[revenue(mln)]]*80,Movies[[#This Row],[revenue(mln)]])</f>
        <v>51584</v>
      </c>
      <c r="P4" s="3"/>
    </row>
    <row r="5" spans="1:16" x14ac:dyDescent="0.3">
      <c r="A5">
        <v>104</v>
      </c>
      <c r="B5" t="s">
        <v>120</v>
      </c>
      <c r="C5" t="s">
        <v>7</v>
      </c>
      <c r="D5">
        <v>2017</v>
      </c>
      <c r="E5">
        <v>7.9</v>
      </c>
      <c r="F5" t="s">
        <v>8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>
        <f>IF(Movies[[#This Row],[unit]]="Billions",Movies[[#This Row],[budget]]*1000,Movies[[#This Row],[budget]])</f>
        <v>180</v>
      </c>
      <c r="M5">
        <f>IF(Movies[[#This Row],[unit]]="Billions",Movies[[#This Row],[revenue]]*1000,Movies[[#This Row],[revenue]])</f>
        <v>854</v>
      </c>
      <c r="N5" s="3">
        <f>IF(Movies[[#This Row],[currency]]="USD",Movies[[#This Row],[budget mln]]*80,Movies[[#This Row],[budget mln]])</f>
        <v>14400</v>
      </c>
      <c r="O5" s="3">
        <f>IF(Movies[[#This Row],[currency]]="USD",Movies[[#This Row],[revenue(mln)]]*80,Movies[[#This Row],[revenue(mln)]])</f>
        <v>68320</v>
      </c>
      <c r="P5" s="3"/>
    </row>
    <row r="6" spans="1:16" x14ac:dyDescent="0.3">
      <c r="A6">
        <v>105</v>
      </c>
      <c r="B6" t="s">
        <v>121</v>
      </c>
      <c r="C6" t="s">
        <v>7</v>
      </c>
      <c r="D6">
        <v>2022</v>
      </c>
      <c r="E6">
        <v>6.8</v>
      </c>
      <c r="F6" t="s">
        <v>8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>
        <f>IF(Movies[[#This Row],[unit]]="Billions",Movies[[#This Row],[budget]]*1000,Movies[[#This Row],[budget]])</f>
        <v>250</v>
      </c>
      <c r="M6">
        <f>IF(Movies[[#This Row],[unit]]="Billions",Movies[[#This Row],[revenue]]*1000,Movies[[#This Row],[revenue]])</f>
        <v>670</v>
      </c>
      <c r="N6" s="3">
        <f>IF(Movies[[#This Row],[currency]]="USD",Movies[[#This Row],[budget mln]]*80,Movies[[#This Row],[budget mln]])</f>
        <v>20000</v>
      </c>
      <c r="O6" s="3">
        <f>IF(Movies[[#This Row],[currency]]="USD",Movies[[#This Row],[revenue(mln)]]*80,Movies[[#This Row],[revenue(mln)]])</f>
        <v>53600</v>
      </c>
      <c r="P6" s="3"/>
    </row>
    <row r="7" spans="1:16" x14ac:dyDescent="0.3">
      <c r="A7">
        <v>106</v>
      </c>
      <c r="B7" t="s">
        <v>122</v>
      </c>
      <c r="C7" t="s">
        <v>6</v>
      </c>
      <c r="D7">
        <v>1975</v>
      </c>
      <c r="E7">
        <v>8.1</v>
      </c>
      <c r="F7" t="s">
        <v>9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t="str">
        <f>IF(Movies[[#This Row],[unit]]="Billions",Movies[[#This Row],[budget]]*1000,Movies[[#This Row],[budget]])</f>
        <v>Not Available</v>
      </c>
      <c r="M7" t="str">
        <f>IF(Movies[[#This Row],[unit]]="Billions",Movies[[#This Row],[revenue]]*1000,Movies[[#This Row],[revenue]])</f>
        <v>Not Available</v>
      </c>
      <c r="N7" s="3" t="str">
        <f>IF(Movies[[#This Row],[currency]]="USD",Movies[[#This Row],[budget mln]]*80,Movies[[#This Row],[budget mln]])</f>
        <v>Not Available</v>
      </c>
      <c r="O7" s="3" t="str">
        <f>IF(Movies[[#This Row],[currency]]="USD",Movies[[#This Row],[revenue(mln)]]*80,Movies[[#This Row],[revenue(mln)]])</f>
        <v>Not Available</v>
      </c>
      <c r="P7" s="3"/>
    </row>
    <row r="8" spans="1:16" x14ac:dyDescent="0.3">
      <c r="A8">
        <v>107</v>
      </c>
      <c r="B8" t="s">
        <v>123</v>
      </c>
      <c r="C8" t="s">
        <v>6</v>
      </c>
      <c r="D8">
        <v>1995</v>
      </c>
      <c r="E8">
        <v>8</v>
      </c>
      <c r="F8" t="s">
        <v>10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>
        <f>IF(Movies[[#This Row],[unit]]="Billions",Movies[[#This Row],[budget]]*1000,Movies[[#This Row],[budget]])</f>
        <v>400</v>
      </c>
      <c r="M8">
        <f>IF(Movies[[#This Row],[unit]]="Billions",Movies[[#This Row],[revenue]]*1000,Movies[[#This Row],[revenue]])</f>
        <v>2000</v>
      </c>
      <c r="N8" s="3">
        <f>IF(Movies[[#This Row],[currency]]="USD",Movies[[#This Row],[budget mln]]*80,Movies[[#This Row],[budget mln]])</f>
        <v>400</v>
      </c>
      <c r="O8" s="3">
        <f>IF(Movies[[#This Row],[currency]]="USD",Movies[[#This Row],[revenue(mln)]]*80,Movies[[#This Row],[revenue(mln)]])</f>
        <v>2000</v>
      </c>
      <c r="P8" s="3"/>
    </row>
    <row r="9" spans="1:16" x14ac:dyDescent="0.3">
      <c r="A9">
        <v>108</v>
      </c>
      <c r="B9" t="s">
        <v>124</v>
      </c>
      <c r="C9" t="s">
        <v>6</v>
      </c>
      <c r="D9">
        <v>2009</v>
      </c>
      <c r="E9">
        <v>8.4</v>
      </c>
      <c r="F9" t="s">
        <v>11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>
        <f>IF(Movies[[#This Row],[unit]]="Billions",Movies[[#This Row],[budget]]*1000,Movies[[#This Row],[budget]])</f>
        <v>550</v>
      </c>
      <c r="M9">
        <f>IF(Movies[[#This Row],[unit]]="Billions",Movies[[#This Row],[revenue]]*1000,Movies[[#This Row],[revenue]])</f>
        <v>4000</v>
      </c>
      <c r="N9" s="3">
        <f>IF(Movies[[#This Row],[currency]]="USD",Movies[[#This Row],[budget mln]]*80,Movies[[#This Row],[budget mln]])</f>
        <v>550</v>
      </c>
      <c r="O9" s="3">
        <f>IF(Movies[[#This Row],[currency]]="USD",Movies[[#This Row],[revenue(mln)]]*80,Movies[[#This Row],[revenue(mln)]])</f>
        <v>4000</v>
      </c>
      <c r="P9" s="3"/>
    </row>
    <row r="10" spans="1:16" x14ac:dyDescent="0.3">
      <c r="A10">
        <v>109</v>
      </c>
      <c r="B10" t="s">
        <v>125</v>
      </c>
      <c r="C10" t="s">
        <v>6</v>
      </c>
      <c r="D10">
        <v>2001</v>
      </c>
      <c r="E10">
        <v>7.4</v>
      </c>
      <c r="F10" t="s">
        <v>12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>
        <f>IF(Movies[[#This Row],[unit]]="Billions",Movies[[#This Row],[budget]]*1000,Movies[[#This Row],[budget]])</f>
        <v>390</v>
      </c>
      <c r="M10">
        <f>IF(Movies[[#This Row],[unit]]="Billions",Movies[[#This Row],[revenue]]*1000,Movies[[#This Row],[revenue]])</f>
        <v>1360</v>
      </c>
      <c r="N10" s="3">
        <f>IF(Movies[[#This Row],[currency]]="USD",Movies[[#This Row],[budget mln]]*80,Movies[[#This Row],[budget mln]])</f>
        <v>390</v>
      </c>
      <c r="O10" s="3">
        <f>IF(Movies[[#This Row],[currency]]="USD",Movies[[#This Row],[revenue(mln)]]*80,Movies[[#This Row],[revenue(mln)]])</f>
        <v>1360</v>
      </c>
      <c r="P10" s="3"/>
    </row>
    <row r="11" spans="1:16" x14ac:dyDescent="0.3">
      <c r="A11">
        <v>110</v>
      </c>
      <c r="B11" t="s">
        <v>126</v>
      </c>
      <c r="C11" t="s">
        <v>6</v>
      </c>
      <c r="D11">
        <v>2015</v>
      </c>
      <c r="E11">
        <v>7.2</v>
      </c>
      <c r="F11" t="s">
        <v>114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>
        <f>IF(Movies[[#This Row],[unit]]="Billions",Movies[[#This Row],[budget]]*1000,Movies[[#This Row],[budget]])</f>
        <v>1400</v>
      </c>
      <c r="M11">
        <f>IF(Movies[[#This Row],[unit]]="Billions",Movies[[#This Row],[revenue]]*1000,Movies[[#This Row],[revenue]])</f>
        <v>3500</v>
      </c>
      <c r="N11" s="3">
        <f>IF(Movies[[#This Row],[currency]]="USD",Movies[[#This Row],[budget mln]]*80,Movies[[#This Row],[budget mln]])</f>
        <v>1400</v>
      </c>
      <c r="O11" s="3">
        <f>IF(Movies[[#This Row],[currency]]="USD",Movies[[#This Row],[revenue(mln)]]*80,Movies[[#This Row],[revenue(mln)]])</f>
        <v>3500</v>
      </c>
      <c r="P11" s="3"/>
    </row>
    <row r="12" spans="1:16" x14ac:dyDescent="0.3">
      <c r="A12">
        <v>111</v>
      </c>
      <c r="B12" t="s">
        <v>127</v>
      </c>
      <c r="C12" t="s">
        <v>7</v>
      </c>
      <c r="D12">
        <v>1994</v>
      </c>
      <c r="E12">
        <v>9.3000000000000007</v>
      </c>
      <c r="F12" t="s">
        <v>13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>
        <f>IF(Movies[[#This Row],[unit]]="Billions",Movies[[#This Row],[budget]]*1000,Movies[[#This Row],[budget]])</f>
        <v>25</v>
      </c>
      <c r="M12">
        <f>IF(Movies[[#This Row],[unit]]="Billions",Movies[[#This Row],[revenue]]*1000,Movies[[#This Row],[revenue]])</f>
        <v>73.3</v>
      </c>
      <c r="N12" s="3">
        <f>IF(Movies[[#This Row],[currency]]="USD",Movies[[#This Row],[budget mln]]*80,Movies[[#This Row],[budget mln]])</f>
        <v>2000</v>
      </c>
      <c r="O12" s="3">
        <f>IF(Movies[[#This Row],[currency]]="USD",Movies[[#This Row],[revenue(mln)]]*80,Movies[[#This Row],[revenue(mln)]])</f>
        <v>5864</v>
      </c>
      <c r="P12" s="3"/>
    </row>
    <row r="13" spans="1:16" x14ac:dyDescent="0.3">
      <c r="A13">
        <v>112</v>
      </c>
      <c r="B13" t="s">
        <v>128</v>
      </c>
      <c r="C13" t="s">
        <v>7</v>
      </c>
      <c r="D13">
        <v>2010</v>
      </c>
      <c r="E13">
        <v>8.8000000000000007</v>
      </c>
      <c r="F13" t="s">
        <v>14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t="str">
        <f>IF(Movies[[#This Row],[unit]]="Billions",Movies[[#This Row],[budget]]*1000,Movies[[#This Row],[budget]])</f>
        <v>Not Available</v>
      </c>
      <c r="M13" t="str">
        <f>IF(Movies[[#This Row],[unit]]="Billions",Movies[[#This Row],[revenue]]*1000,Movies[[#This Row],[revenue]])</f>
        <v>Not Available</v>
      </c>
      <c r="N13" s="3" t="str">
        <f>IF(Movies[[#This Row],[currency]]="USD",Movies[[#This Row],[budget mln]]*80,Movies[[#This Row],[budget mln]])</f>
        <v>Not Available</v>
      </c>
      <c r="O13" s="3" t="str">
        <f>IF(Movies[[#This Row],[currency]]="USD",Movies[[#This Row],[revenue(mln)]]*80,Movies[[#This Row],[revenue(mln)]])</f>
        <v>Not Available</v>
      </c>
      <c r="P13" s="3"/>
    </row>
    <row r="14" spans="1:16" x14ac:dyDescent="0.3">
      <c r="A14">
        <v>113</v>
      </c>
      <c r="B14" t="s">
        <v>129</v>
      </c>
      <c r="C14" t="s">
        <v>7</v>
      </c>
      <c r="D14">
        <v>2014</v>
      </c>
      <c r="E14">
        <v>8.6</v>
      </c>
      <c r="F14" t="s">
        <v>14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>
        <f>IF(Movies[[#This Row],[unit]]="Billions",Movies[[#This Row],[budget]]*1000,Movies[[#This Row],[budget]])</f>
        <v>165</v>
      </c>
      <c r="M14">
        <f>IF(Movies[[#This Row],[unit]]="Billions",Movies[[#This Row],[revenue]]*1000,Movies[[#This Row],[revenue]])</f>
        <v>701.8</v>
      </c>
      <c r="N14" s="3">
        <f>IF(Movies[[#This Row],[currency]]="USD",Movies[[#This Row],[budget mln]]*80,Movies[[#This Row],[budget mln]])</f>
        <v>13200</v>
      </c>
      <c r="O14" s="3">
        <f>IF(Movies[[#This Row],[currency]]="USD",Movies[[#This Row],[revenue(mln)]]*80,Movies[[#This Row],[revenue(mln)]])</f>
        <v>56144</v>
      </c>
      <c r="P14" s="3"/>
    </row>
    <row r="15" spans="1:16" x14ac:dyDescent="0.3">
      <c r="A15">
        <v>115</v>
      </c>
      <c r="B15" t="s">
        <v>130</v>
      </c>
      <c r="C15" t="s">
        <v>7</v>
      </c>
      <c r="D15">
        <v>2006</v>
      </c>
      <c r="E15">
        <v>8</v>
      </c>
      <c r="F15" t="s">
        <v>15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>
        <f>IF(Movies[[#This Row],[unit]]="Billions",Movies[[#This Row],[budget]]*1000,Movies[[#This Row],[budget]])</f>
        <v>55</v>
      </c>
      <c r="M15">
        <f>IF(Movies[[#This Row],[unit]]="Billions",Movies[[#This Row],[revenue]]*1000,Movies[[#This Row],[revenue]])</f>
        <v>307.10000000000002</v>
      </c>
      <c r="N15" s="3">
        <f>IF(Movies[[#This Row],[currency]]="USD",Movies[[#This Row],[budget mln]]*80,Movies[[#This Row],[budget mln]])</f>
        <v>4400</v>
      </c>
      <c r="O15" s="3">
        <f>IF(Movies[[#This Row],[currency]]="USD",Movies[[#This Row],[revenue(mln)]]*80,Movies[[#This Row],[revenue(mln)]])</f>
        <v>24568</v>
      </c>
      <c r="P15" s="3"/>
    </row>
    <row r="16" spans="1:16" x14ac:dyDescent="0.3">
      <c r="A16">
        <v>116</v>
      </c>
      <c r="B16" t="s">
        <v>131</v>
      </c>
      <c r="C16" t="s">
        <v>7</v>
      </c>
      <c r="D16">
        <v>2000</v>
      </c>
      <c r="E16">
        <v>8.5</v>
      </c>
      <c r="F16" t="s">
        <v>20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>
        <f>IF(Movies[[#This Row],[unit]]="Billions",Movies[[#This Row],[budget]]*1000,Movies[[#This Row],[budget]])</f>
        <v>103</v>
      </c>
      <c r="M16">
        <f>IF(Movies[[#This Row],[unit]]="Billions",Movies[[#This Row],[revenue]]*1000,Movies[[#This Row],[revenue]])</f>
        <v>460.5</v>
      </c>
      <c r="N16" s="3">
        <f>IF(Movies[[#This Row],[currency]]="USD",Movies[[#This Row],[budget mln]]*80,Movies[[#This Row],[budget mln]])</f>
        <v>8240</v>
      </c>
      <c r="O16" s="3">
        <f>IF(Movies[[#This Row],[currency]]="USD",Movies[[#This Row],[revenue(mln)]]*80,Movies[[#This Row],[revenue(mln)]])</f>
        <v>36840</v>
      </c>
      <c r="P16" s="3"/>
    </row>
    <row r="17" spans="1:16" x14ac:dyDescent="0.3">
      <c r="A17">
        <v>117</v>
      </c>
      <c r="B17" t="s">
        <v>132</v>
      </c>
      <c r="C17" t="s">
        <v>7</v>
      </c>
      <c r="D17">
        <v>1997</v>
      </c>
      <c r="E17">
        <v>7.9</v>
      </c>
      <c r="F17" t="s">
        <v>16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>
        <f>IF(Movies[[#This Row],[unit]]="Billions",Movies[[#This Row],[budget]]*1000,Movies[[#This Row],[budget]])</f>
        <v>200</v>
      </c>
      <c r="M17">
        <f>IF(Movies[[#This Row],[unit]]="Billions",Movies[[#This Row],[revenue]]*1000,Movies[[#This Row],[revenue]])</f>
        <v>2202</v>
      </c>
      <c r="N17" s="3">
        <f>IF(Movies[[#This Row],[currency]]="USD",Movies[[#This Row],[budget mln]]*80,Movies[[#This Row],[budget mln]])</f>
        <v>16000</v>
      </c>
      <c r="O17" s="3">
        <f>IF(Movies[[#This Row],[currency]]="USD",Movies[[#This Row],[revenue(mln)]]*80,Movies[[#This Row],[revenue(mln)]])</f>
        <v>176160</v>
      </c>
      <c r="P17" s="3"/>
    </row>
    <row r="18" spans="1:16" x14ac:dyDescent="0.3">
      <c r="A18">
        <v>118</v>
      </c>
      <c r="B18" t="s">
        <v>133</v>
      </c>
      <c r="C18" t="s">
        <v>7</v>
      </c>
      <c r="D18">
        <v>1946</v>
      </c>
      <c r="E18">
        <v>8.6</v>
      </c>
      <c r="F18" t="s">
        <v>17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>
        <f>IF(Movies[[#This Row],[unit]]="Billions",Movies[[#This Row],[budget]]*1000,Movies[[#This Row],[budget]])</f>
        <v>3.18</v>
      </c>
      <c r="M18">
        <f>IF(Movies[[#This Row],[unit]]="Billions",Movies[[#This Row],[revenue]]*1000,Movies[[#This Row],[revenue]])</f>
        <v>3.3</v>
      </c>
      <c r="N18" s="3">
        <f>IF(Movies[[#This Row],[currency]]="USD",Movies[[#This Row],[budget mln]]*80,Movies[[#This Row],[budget mln]])</f>
        <v>254.4</v>
      </c>
      <c r="O18" s="3">
        <f>IF(Movies[[#This Row],[currency]]="USD",Movies[[#This Row],[revenue(mln)]]*80,Movies[[#This Row],[revenue(mln)]])</f>
        <v>264</v>
      </c>
      <c r="P18" s="3"/>
    </row>
    <row r="19" spans="1:16" x14ac:dyDescent="0.3">
      <c r="A19">
        <v>119</v>
      </c>
      <c r="B19" t="s">
        <v>134</v>
      </c>
      <c r="C19" t="s">
        <v>7</v>
      </c>
      <c r="D19">
        <v>2009</v>
      </c>
      <c r="E19">
        <v>7.8</v>
      </c>
      <c r="F19" t="s">
        <v>18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>
        <f>IF(Movies[[#This Row],[unit]]="Billions",Movies[[#This Row],[budget]]*1000,Movies[[#This Row],[budget]])</f>
        <v>237</v>
      </c>
      <c r="M19">
        <f>IF(Movies[[#This Row],[unit]]="Billions",Movies[[#This Row],[revenue]]*1000,Movies[[#This Row],[revenue]])</f>
        <v>2847</v>
      </c>
      <c r="N19" s="3">
        <f>IF(Movies[[#This Row],[currency]]="USD",Movies[[#This Row],[budget mln]]*80,Movies[[#This Row],[budget mln]])</f>
        <v>18960</v>
      </c>
      <c r="O19" s="3">
        <f>IF(Movies[[#This Row],[currency]]="USD",Movies[[#This Row],[revenue(mln)]]*80,Movies[[#This Row],[revenue(mln)]])</f>
        <v>227760</v>
      </c>
      <c r="P19" s="3"/>
    </row>
    <row r="20" spans="1:16" x14ac:dyDescent="0.3">
      <c r="A20">
        <v>120</v>
      </c>
      <c r="B20" t="s">
        <v>135</v>
      </c>
      <c r="C20" t="s">
        <v>7</v>
      </c>
      <c r="D20">
        <v>1972</v>
      </c>
      <c r="E20">
        <v>9.1999999999999993</v>
      </c>
      <c r="F20" t="s">
        <v>16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>
        <f>IF(Movies[[#This Row],[unit]]="Billions",Movies[[#This Row],[budget]]*1000,Movies[[#This Row],[budget]])</f>
        <v>7.2</v>
      </c>
      <c r="M20">
        <f>IF(Movies[[#This Row],[unit]]="Billions",Movies[[#This Row],[revenue]]*1000,Movies[[#This Row],[revenue]])</f>
        <v>291</v>
      </c>
      <c r="N20" s="3">
        <f>IF(Movies[[#This Row],[currency]]="USD",Movies[[#This Row],[budget mln]]*80,Movies[[#This Row],[budget mln]])</f>
        <v>576</v>
      </c>
      <c r="O20" s="3">
        <f>IF(Movies[[#This Row],[currency]]="USD",Movies[[#This Row],[revenue(mln)]]*80,Movies[[#This Row],[revenue(mln)]])</f>
        <v>23280</v>
      </c>
      <c r="P20" s="3"/>
    </row>
    <row r="21" spans="1:16" x14ac:dyDescent="0.3">
      <c r="A21">
        <v>121</v>
      </c>
      <c r="B21" t="s">
        <v>136</v>
      </c>
      <c r="C21" t="s">
        <v>7</v>
      </c>
      <c r="D21">
        <v>2008</v>
      </c>
      <c r="E21">
        <v>9</v>
      </c>
      <c r="F21" t="s">
        <v>19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>
        <f>IF(Movies[[#This Row],[unit]]="Billions",Movies[[#This Row],[budget]]*1000,Movies[[#This Row],[budget]])</f>
        <v>185</v>
      </c>
      <c r="M21">
        <f>IF(Movies[[#This Row],[unit]]="Billions",Movies[[#This Row],[revenue]]*1000,Movies[[#This Row],[revenue]])</f>
        <v>1006</v>
      </c>
      <c r="N21" s="3">
        <f>IF(Movies[[#This Row],[currency]]="USD",Movies[[#This Row],[budget mln]]*80,Movies[[#This Row],[budget mln]])</f>
        <v>14800</v>
      </c>
      <c r="O21" s="3">
        <f>IF(Movies[[#This Row],[currency]]="USD",Movies[[#This Row],[revenue(mln)]]*80,Movies[[#This Row],[revenue(mln)]])</f>
        <v>80480</v>
      </c>
      <c r="P21" s="3"/>
    </row>
    <row r="22" spans="1:16" x14ac:dyDescent="0.3">
      <c r="A22">
        <v>122</v>
      </c>
      <c r="B22" t="s">
        <v>137</v>
      </c>
      <c r="C22" t="s">
        <v>7</v>
      </c>
      <c r="D22">
        <v>1993</v>
      </c>
      <c r="E22">
        <v>9</v>
      </c>
      <c r="F22" t="s">
        <v>20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>
        <f>IF(Movies[[#This Row],[unit]]="Billions",Movies[[#This Row],[budget]]*1000,Movies[[#This Row],[budget]])</f>
        <v>22</v>
      </c>
      <c r="M22">
        <f>IF(Movies[[#This Row],[unit]]="Billions",Movies[[#This Row],[revenue]]*1000,Movies[[#This Row],[revenue]])</f>
        <v>322.2</v>
      </c>
      <c r="N22" s="3">
        <f>IF(Movies[[#This Row],[currency]]="USD",Movies[[#This Row],[budget mln]]*80,Movies[[#This Row],[budget mln]])</f>
        <v>1760</v>
      </c>
      <c r="O22" s="3">
        <f>IF(Movies[[#This Row],[currency]]="USD",Movies[[#This Row],[revenue(mln)]]*80,Movies[[#This Row],[revenue(mln)]])</f>
        <v>25776</v>
      </c>
      <c r="P22" s="3"/>
    </row>
    <row r="23" spans="1:16" x14ac:dyDescent="0.3">
      <c r="A23">
        <v>123</v>
      </c>
      <c r="B23" t="s">
        <v>138</v>
      </c>
      <c r="C23" t="s">
        <v>7</v>
      </c>
      <c r="D23">
        <v>1993</v>
      </c>
      <c r="E23">
        <v>8.1999999999999993</v>
      </c>
      <c r="F23" t="s">
        <v>20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>
        <f>IF(Movies[[#This Row],[unit]]="Billions",Movies[[#This Row],[budget]]*1000,Movies[[#This Row],[budget]])</f>
        <v>63</v>
      </c>
      <c r="M23">
        <f>IF(Movies[[#This Row],[unit]]="Billions",Movies[[#This Row],[revenue]]*1000,Movies[[#This Row],[revenue]])</f>
        <v>1046</v>
      </c>
      <c r="N23" s="3">
        <f>IF(Movies[[#This Row],[currency]]="USD",Movies[[#This Row],[budget mln]]*80,Movies[[#This Row],[budget mln]])</f>
        <v>5040</v>
      </c>
      <c r="O23" s="3">
        <f>IF(Movies[[#This Row],[currency]]="USD",Movies[[#This Row],[revenue(mln)]]*80,Movies[[#This Row],[revenue(mln)]])</f>
        <v>83680</v>
      </c>
      <c r="P23" s="3"/>
    </row>
    <row r="24" spans="1:16" x14ac:dyDescent="0.3">
      <c r="A24">
        <v>124</v>
      </c>
      <c r="B24" t="s">
        <v>139</v>
      </c>
      <c r="C24" t="s">
        <v>7</v>
      </c>
      <c r="D24">
        <v>2019</v>
      </c>
      <c r="E24">
        <v>8.5</v>
      </c>
      <c r="F24" t="s">
        <v>114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>
        <f>IF(Movies[[#This Row],[unit]]="Billions",Movies[[#This Row],[budget]]*1000,Movies[[#This Row],[budget]])</f>
        <v>15.5</v>
      </c>
      <c r="M24">
        <f>IF(Movies[[#This Row],[unit]]="Billions",Movies[[#This Row],[revenue]]*1000,Movies[[#This Row],[revenue]])</f>
        <v>263.10000000000002</v>
      </c>
      <c r="N24" s="3">
        <f>IF(Movies[[#This Row],[currency]]="USD",Movies[[#This Row],[budget mln]]*80,Movies[[#This Row],[budget mln]])</f>
        <v>1240</v>
      </c>
      <c r="O24" s="3">
        <f>IF(Movies[[#This Row],[currency]]="USD",Movies[[#This Row],[revenue(mln)]]*80,Movies[[#This Row],[revenue(mln)]])</f>
        <v>21048</v>
      </c>
      <c r="P24" s="3"/>
    </row>
    <row r="25" spans="1:16" x14ac:dyDescent="0.3">
      <c r="A25">
        <v>125</v>
      </c>
      <c r="B25" t="s">
        <v>140</v>
      </c>
      <c r="C25" t="s">
        <v>7</v>
      </c>
      <c r="D25">
        <v>2019</v>
      </c>
      <c r="E25">
        <v>8.4</v>
      </c>
      <c r="F25" t="s">
        <v>8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>
        <f>IF(Movies[[#This Row],[unit]]="Billions",Movies[[#This Row],[budget]]*1000,Movies[[#This Row],[budget]])</f>
        <v>400</v>
      </c>
      <c r="M25">
        <f>IF(Movies[[#This Row],[unit]]="Billions",Movies[[#This Row],[revenue]]*1000,Movies[[#This Row],[revenue]])</f>
        <v>2798</v>
      </c>
      <c r="N25" s="3">
        <f>IF(Movies[[#This Row],[currency]]="USD",Movies[[#This Row],[budget mln]]*80,Movies[[#This Row],[budget mln]])</f>
        <v>32000</v>
      </c>
      <c r="O25" s="3">
        <f>IF(Movies[[#This Row],[currency]]="USD",Movies[[#This Row],[revenue(mln)]]*80,Movies[[#This Row],[revenue(mln)]])</f>
        <v>223840</v>
      </c>
      <c r="P25" s="3"/>
    </row>
    <row r="26" spans="1:16" x14ac:dyDescent="0.3">
      <c r="A26">
        <v>126</v>
      </c>
      <c r="B26" t="s">
        <v>141</v>
      </c>
      <c r="C26" t="s">
        <v>7</v>
      </c>
      <c r="D26">
        <v>2018</v>
      </c>
      <c r="E26">
        <v>8.4</v>
      </c>
      <c r="F26" t="s">
        <v>8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>
        <f>IF(Movies[[#This Row],[unit]]="Billions",Movies[[#This Row],[budget]]*1000,Movies[[#This Row],[budget]])</f>
        <v>400</v>
      </c>
      <c r="M26">
        <f>IF(Movies[[#This Row],[unit]]="Billions",Movies[[#This Row],[revenue]]*1000,Movies[[#This Row],[revenue]])</f>
        <v>2048</v>
      </c>
      <c r="N26" s="3">
        <f>IF(Movies[[#This Row],[currency]]="USD",Movies[[#This Row],[budget mln]]*80,Movies[[#This Row],[budget mln]])</f>
        <v>32000</v>
      </c>
      <c r="O26" s="3">
        <f>IF(Movies[[#This Row],[currency]]="USD",Movies[[#This Row],[revenue(mln)]]*80,Movies[[#This Row],[revenue(mln)]])</f>
        <v>163840</v>
      </c>
      <c r="P26" s="3"/>
    </row>
    <row r="27" spans="1:16" x14ac:dyDescent="0.3">
      <c r="A27">
        <v>127</v>
      </c>
      <c r="B27" t="s">
        <v>142</v>
      </c>
      <c r="C27" t="s">
        <v>6</v>
      </c>
      <c r="D27">
        <v>1955</v>
      </c>
      <c r="E27">
        <v>8.3000000000000007</v>
      </c>
      <c r="F27" t="s">
        <v>116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>
        <f>IF(Movies[[#This Row],[unit]]="Billions",Movies[[#This Row],[budget]]*1000,Movies[[#This Row],[budget]])</f>
        <v>70</v>
      </c>
      <c r="M27">
        <f>IF(Movies[[#This Row],[unit]]="Billions",Movies[[#This Row],[revenue]]*1000,Movies[[#This Row],[revenue]])</f>
        <v>100</v>
      </c>
      <c r="N27" s="3">
        <f>IF(Movies[[#This Row],[currency]]="USD",Movies[[#This Row],[budget mln]]*80,Movies[[#This Row],[budget mln]])</f>
        <v>70</v>
      </c>
      <c r="O27" s="3">
        <f>IF(Movies[[#This Row],[currency]]="USD",Movies[[#This Row],[revenue(mln)]]*80,Movies[[#This Row],[revenue(mln)]])</f>
        <v>100</v>
      </c>
      <c r="P27" s="3"/>
    </row>
    <row r="28" spans="1:16" x14ac:dyDescent="0.3">
      <c r="A28">
        <v>128</v>
      </c>
      <c r="B28" t="s">
        <v>143</v>
      </c>
      <c r="C28" t="s">
        <v>6</v>
      </c>
      <c r="D28">
        <v>2007</v>
      </c>
      <c r="E28">
        <v>8.3000000000000007</v>
      </c>
      <c r="F28" t="s">
        <v>114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>
        <f>IF(Movies[[#This Row],[unit]]="Billions",Movies[[#This Row],[budget]]*1000,Movies[[#This Row],[budget]])</f>
        <v>120</v>
      </c>
      <c r="M28">
        <f>IF(Movies[[#This Row],[unit]]="Billions",Movies[[#This Row],[revenue]]*1000,Movies[[#This Row],[revenue]])</f>
        <v>1350</v>
      </c>
      <c r="N28" s="3">
        <f>IF(Movies[[#This Row],[currency]]="USD",Movies[[#This Row],[budget mln]]*80,Movies[[#This Row],[budget mln]])</f>
        <v>120</v>
      </c>
      <c r="O28" s="3">
        <f>IF(Movies[[#This Row],[currency]]="USD",Movies[[#This Row],[revenue(mln)]]*80,Movies[[#This Row],[revenue(mln)]])</f>
        <v>1350</v>
      </c>
      <c r="P28" s="3"/>
    </row>
    <row r="29" spans="1:16" x14ac:dyDescent="0.3">
      <c r="A29">
        <v>129</v>
      </c>
      <c r="B29" t="s">
        <v>144</v>
      </c>
      <c r="C29" t="s">
        <v>6</v>
      </c>
      <c r="D29">
        <v>2003</v>
      </c>
      <c r="E29">
        <v>8.1</v>
      </c>
      <c r="F29" t="s">
        <v>21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>
        <f>IF(Movies[[#This Row],[unit]]="Billions",Movies[[#This Row],[budget]]*1000,Movies[[#This Row],[budget]])</f>
        <v>100</v>
      </c>
      <c r="M29">
        <f>IF(Movies[[#This Row],[unit]]="Billions",Movies[[#This Row],[revenue]]*1000,Movies[[#This Row],[revenue]])</f>
        <v>410</v>
      </c>
      <c r="N29" s="3">
        <f>IF(Movies[[#This Row],[currency]]="USD",Movies[[#This Row],[budget mln]]*80,Movies[[#This Row],[budget mln]])</f>
        <v>100</v>
      </c>
      <c r="O29" s="3">
        <f>IF(Movies[[#This Row],[currency]]="USD",Movies[[#This Row],[revenue(mln)]]*80,Movies[[#This Row],[revenue(mln)]])</f>
        <v>410</v>
      </c>
      <c r="P29" s="3"/>
    </row>
    <row r="30" spans="1:16" x14ac:dyDescent="0.3">
      <c r="A30">
        <v>130</v>
      </c>
      <c r="B30" t="s">
        <v>145</v>
      </c>
      <c r="C30" t="s">
        <v>6</v>
      </c>
      <c r="D30">
        <v>2014</v>
      </c>
      <c r="E30">
        <v>8.1</v>
      </c>
      <c r="F30" t="s">
        <v>11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>
        <f>IF(Movies[[#This Row],[unit]]="Billions",Movies[[#This Row],[budget]]*1000,Movies[[#This Row],[budget]])</f>
        <v>850</v>
      </c>
      <c r="M30">
        <f>IF(Movies[[#This Row],[unit]]="Billions",Movies[[#This Row],[revenue]]*1000,Movies[[#This Row],[revenue]])</f>
        <v>8540</v>
      </c>
      <c r="N30" s="3">
        <f>IF(Movies[[#This Row],[currency]]="USD",Movies[[#This Row],[budget mln]]*80,Movies[[#This Row],[budget mln]])</f>
        <v>850</v>
      </c>
      <c r="O30" s="3">
        <f>IF(Movies[[#This Row],[currency]]="USD",Movies[[#This Row],[revenue(mln)]]*80,Movies[[#This Row],[revenue(mln)]])</f>
        <v>8540</v>
      </c>
      <c r="P30" s="3"/>
    </row>
    <row r="31" spans="1:16" x14ac:dyDescent="0.3">
      <c r="A31">
        <v>131</v>
      </c>
      <c r="B31" t="s">
        <v>146</v>
      </c>
      <c r="C31" t="s">
        <v>6</v>
      </c>
      <c r="D31">
        <v>2018</v>
      </c>
      <c r="E31" t="s">
        <v>113</v>
      </c>
      <c r="F31" t="s">
        <v>11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>
        <f>IF(Movies[[#This Row],[unit]]="Billions",Movies[[#This Row],[budget]]*1000,Movies[[#This Row],[budget]])</f>
        <v>1000</v>
      </c>
      <c r="M31">
        <f>IF(Movies[[#This Row],[unit]]="Billions",Movies[[#This Row],[revenue]]*1000,Movies[[#This Row],[revenue]])</f>
        <v>5900</v>
      </c>
      <c r="N31" s="3">
        <f>IF(Movies[[#This Row],[currency]]="USD",Movies[[#This Row],[budget mln]]*80,Movies[[#This Row],[budget mln]])</f>
        <v>1000</v>
      </c>
      <c r="O31" s="3">
        <f>IF(Movies[[#This Row],[currency]]="USD",Movies[[#This Row],[revenue(mln)]]*80,Movies[[#This Row],[revenue(mln)]])</f>
        <v>5900</v>
      </c>
      <c r="P31" s="3"/>
    </row>
    <row r="32" spans="1:16" x14ac:dyDescent="0.3">
      <c r="A32">
        <v>132</v>
      </c>
      <c r="B32" t="s">
        <v>147</v>
      </c>
      <c r="C32" t="s">
        <v>6</v>
      </c>
      <c r="D32">
        <v>2021</v>
      </c>
      <c r="E32">
        <v>7.6</v>
      </c>
      <c r="F32" t="s">
        <v>22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>
        <f>IF(Movies[[#This Row],[unit]]="Billions",Movies[[#This Row],[budget]]*1000,Movies[[#This Row],[budget]])</f>
        <v>2000</v>
      </c>
      <c r="M32">
        <f>IF(Movies[[#This Row],[unit]]="Billions",Movies[[#This Row],[revenue]]*1000,Movies[[#This Row],[revenue]])</f>
        <v>3600</v>
      </c>
      <c r="N32" s="3">
        <f>IF(Movies[[#This Row],[currency]]="USD",Movies[[#This Row],[budget mln]]*80,Movies[[#This Row],[budget mln]])</f>
        <v>2000</v>
      </c>
      <c r="O32" s="3">
        <f>IF(Movies[[#This Row],[currency]]="USD",Movies[[#This Row],[revenue(mln)]]*80,Movies[[#This Row],[revenue(mln)]])</f>
        <v>3600</v>
      </c>
      <c r="P32" s="3"/>
    </row>
    <row r="33" spans="1:16" x14ac:dyDescent="0.3">
      <c r="A33">
        <v>133</v>
      </c>
      <c r="B33" t="s">
        <v>148</v>
      </c>
      <c r="C33" t="s">
        <v>6</v>
      </c>
      <c r="D33">
        <v>2022</v>
      </c>
      <c r="E33">
        <v>8</v>
      </c>
      <c r="F33" t="s">
        <v>23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>
        <f>IF(Movies[[#This Row],[unit]]="Billions",Movies[[#This Row],[budget]]*1000,Movies[[#This Row],[budget]])</f>
        <v>5500</v>
      </c>
      <c r="M33">
        <f>IF(Movies[[#This Row],[unit]]="Billions",Movies[[#This Row],[revenue]]*1000,Movies[[#This Row],[revenue]])</f>
        <v>12000</v>
      </c>
      <c r="N33" s="3">
        <f>IF(Movies[[#This Row],[currency]]="USD",Movies[[#This Row],[budget mln]]*80,Movies[[#This Row],[budget mln]])</f>
        <v>5500</v>
      </c>
      <c r="O33" s="3">
        <f>IF(Movies[[#This Row],[currency]]="USD",Movies[[#This Row],[revenue(mln)]]*80,Movies[[#This Row],[revenue(mln)]])</f>
        <v>12000</v>
      </c>
      <c r="P33" s="3"/>
    </row>
    <row r="34" spans="1:16" x14ac:dyDescent="0.3">
      <c r="A34">
        <v>134</v>
      </c>
      <c r="B34" t="s">
        <v>149</v>
      </c>
      <c r="C34" t="s">
        <v>6</v>
      </c>
      <c r="D34">
        <v>2015</v>
      </c>
      <c r="E34">
        <v>8</v>
      </c>
      <c r="F34" t="s">
        <v>24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>
        <f>IF(Movies[[#This Row],[unit]]="Billions",Movies[[#This Row],[budget]]*1000,Movies[[#This Row],[budget]])</f>
        <v>1800</v>
      </c>
      <c r="M34">
        <f>IF(Movies[[#This Row],[unit]]="Billions",Movies[[#This Row],[revenue]]*1000,Movies[[#This Row],[revenue]])</f>
        <v>6500</v>
      </c>
      <c r="N34" s="3">
        <f>IF(Movies[[#This Row],[currency]]="USD",Movies[[#This Row],[budget mln]]*80,Movies[[#This Row],[budget mln]])</f>
        <v>1800</v>
      </c>
      <c r="O34" s="3">
        <f>IF(Movies[[#This Row],[currency]]="USD",Movies[[#This Row],[revenue(mln)]]*80,Movies[[#This Row],[revenue(mln)]])</f>
        <v>6500</v>
      </c>
      <c r="P34" s="3"/>
    </row>
    <row r="35" spans="1:16" x14ac:dyDescent="0.3">
      <c r="A35">
        <v>135</v>
      </c>
      <c r="B35" t="s">
        <v>150</v>
      </c>
      <c r="C35" t="s">
        <v>6</v>
      </c>
      <c r="D35">
        <v>2022</v>
      </c>
      <c r="E35">
        <v>8.3000000000000007</v>
      </c>
      <c r="F35" t="s">
        <v>25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>
        <f>IF(Movies[[#This Row],[unit]]="Billions",Movies[[#This Row],[budget]]*1000,Movies[[#This Row],[budget]])</f>
        <v>250</v>
      </c>
      <c r="M35">
        <f>IF(Movies[[#This Row],[unit]]="Billions",Movies[[#This Row],[revenue]]*1000,Movies[[#This Row],[revenue]])</f>
        <v>3409</v>
      </c>
      <c r="N35" s="3">
        <f>IF(Movies[[#This Row],[currency]]="USD",Movies[[#This Row],[budget mln]]*80,Movies[[#This Row],[budget mln]])</f>
        <v>250</v>
      </c>
      <c r="O35" s="3">
        <f>IF(Movies[[#This Row],[currency]]="USD",Movies[[#This Row],[revenue(mln)]]*80,Movies[[#This Row],[revenue(mln)]])</f>
        <v>3409</v>
      </c>
      <c r="P35" s="3"/>
    </row>
    <row r="36" spans="1:16" x14ac:dyDescent="0.3">
      <c r="A36">
        <v>136</v>
      </c>
      <c r="B36" t="s">
        <v>151</v>
      </c>
      <c r="C36" t="s">
        <v>6</v>
      </c>
      <c r="D36">
        <v>2015</v>
      </c>
      <c r="E36">
        <v>8.1</v>
      </c>
      <c r="F36" t="s">
        <v>26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>
        <f>IF(Movies[[#This Row],[unit]]="Billions",Movies[[#This Row],[budget]]*1000,Movies[[#This Row],[budget]])</f>
        <v>900</v>
      </c>
      <c r="M36">
        <f>IF(Movies[[#This Row],[unit]]="Billions",Movies[[#This Row],[revenue]]*1000,Movies[[#This Row],[revenue]])</f>
        <v>11690</v>
      </c>
      <c r="N36" s="3">
        <f>IF(Movies[[#This Row],[currency]]="USD",Movies[[#This Row],[budget mln]]*80,Movies[[#This Row],[budget mln]])</f>
        <v>900</v>
      </c>
      <c r="O36" s="3">
        <f>IF(Movies[[#This Row],[currency]]="USD",Movies[[#This Row],[revenue(mln)]]*80,Movies[[#This Row],[revenue(mln)]])</f>
        <v>11690</v>
      </c>
      <c r="P36" s="3"/>
    </row>
    <row r="37" spans="1:16" x14ac:dyDescent="0.3">
      <c r="A37">
        <v>137</v>
      </c>
      <c r="B37" t="s">
        <v>152</v>
      </c>
      <c r="C37" t="s">
        <v>7</v>
      </c>
      <c r="D37">
        <v>2011</v>
      </c>
      <c r="E37">
        <v>6.9</v>
      </c>
      <c r="F37" t="s">
        <v>8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>
        <f>IF(Movies[[#This Row],[unit]]="Billions",Movies[[#This Row],[budget]]*1000,Movies[[#This Row],[budget]])</f>
        <v>216.7</v>
      </c>
      <c r="M37">
        <f>IF(Movies[[#This Row],[unit]]="Billions",Movies[[#This Row],[revenue]]*1000,Movies[[#This Row],[revenue]])</f>
        <v>370.6</v>
      </c>
      <c r="N37" s="3">
        <f>IF(Movies[[#This Row],[currency]]="USD",Movies[[#This Row],[budget mln]]*80,Movies[[#This Row],[budget mln]])</f>
        <v>17336</v>
      </c>
      <c r="O37" s="3">
        <f>IF(Movies[[#This Row],[currency]]="USD",Movies[[#This Row],[revenue(mln)]]*80,Movies[[#This Row],[revenue(mln)]])</f>
        <v>29648</v>
      </c>
      <c r="P37" s="3"/>
    </row>
    <row r="38" spans="1:16" x14ac:dyDescent="0.3">
      <c r="A38">
        <v>138</v>
      </c>
      <c r="B38" t="s">
        <v>153</v>
      </c>
      <c r="C38" t="s">
        <v>7</v>
      </c>
      <c r="D38">
        <v>2014</v>
      </c>
      <c r="E38">
        <v>7.8</v>
      </c>
      <c r="F38" t="s">
        <v>8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>
        <f>IF(Movies[[#This Row],[unit]]="Billions",Movies[[#This Row],[budget]]*1000,Movies[[#This Row],[budget]])</f>
        <v>177</v>
      </c>
      <c r="M38">
        <f>IF(Movies[[#This Row],[unit]]="Billions",Movies[[#This Row],[revenue]]*1000,Movies[[#This Row],[revenue]])</f>
        <v>714.4</v>
      </c>
      <c r="N38" s="3">
        <f>IF(Movies[[#This Row],[currency]]="USD",Movies[[#This Row],[budget mln]]*80,Movies[[#This Row],[budget mln]])</f>
        <v>14160</v>
      </c>
      <c r="O38" s="3">
        <f>IF(Movies[[#This Row],[currency]]="USD",Movies[[#This Row],[revenue(mln)]]*80,Movies[[#This Row],[revenue(mln)]])</f>
        <v>57152</v>
      </c>
      <c r="P38" s="3"/>
    </row>
    <row r="39" spans="1:16" x14ac:dyDescent="0.3">
      <c r="A39">
        <v>139</v>
      </c>
      <c r="B39" t="s">
        <v>154</v>
      </c>
      <c r="C39" t="s">
        <v>6</v>
      </c>
      <c r="D39">
        <v>2018</v>
      </c>
      <c r="E39">
        <v>1.9</v>
      </c>
      <c r="F39" t="s">
        <v>26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>
        <f>IF(Movies[[#This Row],[unit]]="Billions",Movies[[#This Row],[budget]]*1000,Movies[[#This Row],[budget]])</f>
        <v>1800</v>
      </c>
      <c r="M39">
        <f>IF(Movies[[#This Row],[unit]]="Billions",Movies[[#This Row],[revenue]]*1000,Movies[[#This Row],[revenue]])</f>
        <v>3100</v>
      </c>
      <c r="N39" s="3">
        <f>IF(Movies[[#This Row],[currency]]="USD",Movies[[#This Row],[budget mln]]*80,Movies[[#This Row],[budget mln]])</f>
        <v>1800</v>
      </c>
      <c r="O39" s="3">
        <f>IF(Movies[[#This Row],[currency]]="USD",Movies[[#This Row],[revenue(mln)]]*80,Movies[[#This Row],[revenue(mln)]])</f>
        <v>3100</v>
      </c>
      <c r="P39" s="3"/>
    </row>
    <row r="40" spans="1:16" x14ac:dyDescent="0.3">
      <c r="A40">
        <v>140</v>
      </c>
      <c r="B40" t="s">
        <v>155</v>
      </c>
      <c r="C40" t="s">
        <v>6</v>
      </c>
      <c r="D40">
        <v>2021</v>
      </c>
      <c r="E40">
        <v>8.4</v>
      </c>
      <c r="F40" t="s">
        <v>12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>
        <f>IF(Movies[[#This Row],[unit]]="Billions",Movies[[#This Row],[budget]]*1000,Movies[[#This Row],[budget]])</f>
        <v>500</v>
      </c>
      <c r="M40">
        <f>IF(Movies[[#This Row],[unit]]="Billions",Movies[[#This Row],[revenue]]*1000,Movies[[#This Row],[revenue]])</f>
        <v>950</v>
      </c>
      <c r="N40" s="3">
        <f>IF(Movies[[#This Row],[currency]]="USD",Movies[[#This Row],[budget mln]]*80,Movies[[#This Row],[budget mln]])</f>
        <v>500</v>
      </c>
      <c r="O40" s="3">
        <f>IF(Movies[[#This Row],[currency]]="USD",Movies[[#This Row],[revenue(mln)]]*80,Movies[[#This Row],[revenue(mln)]])</f>
        <v>950</v>
      </c>
      <c r="P40" s="3"/>
    </row>
    <row r="42" spans="1:16" x14ac:dyDescent="0.3">
      <c r="D42">
        <f>SUM(Movies[budget])</f>
        <v>7214.08</v>
      </c>
    </row>
  </sheetData>
  <conditionalFormatting sqref="A1:B1">
    <cfRule type="duplicateValues" dxfId="6" priority="5"/>
    <cfRule type="duplicateValues" dxfId="5" priority="6"/>
  </conditionalFormatting>
  <conditionalFormatting sqref="A2:B40">
    <cfRule type="duplicateValues" dxfId="4" priority="9"/>
    <cfRule type="duplicateValues" dxfId="3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="160" zoomScaleNormal="160" workbookViewId="0">
      <selection activeCell="B26" sqref="B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3">
      <c r="A2">
        <v>101</v>
      </c>
      <c r="B2">
        <v>1</v>
      </c>
      <c r="C2">
        <v>12.5</v>
      </c>
      <c r="D2" t="s">
        <v>31</v>
      </c>
      <c r="E2" t="s">
        <v>32</v>
      </c>
    </row>
    <row r="3" spans="1:5" x14ac:dyDescent="0.3">
      <c r="A3">
        <v>102</v>
      </c>
      <c r="B3">
        <v>200</v>
      </c>
      <c r="C3">
        <v>954.8</v>
      </c>
      <c r="D3" t="s">
        <v>33</v>
      </c>
      <c r="E3" t="s">
        <v>34</v>
      </c>
    </row>
    <row r="4" spans="1:5" x14ac:dyDescent="0.3">
      <c r="A4">
        <v>103</v>
      </c>
      <c r="B4">
        <v>165</v>
      </c>
      <c r="C4">
        <v>644.79999999999995</v>
      </c>
      <c r="D4" t="s">
        <v>33</v>
      </c>
      <c r="E4" t="s">
        <v>34</v>
      </c>
    </row>
    <row r="5" spans="1:5" x14ac:dyDescent="0.3">
      <c r="A5">
        <v>104</v>
      </c>
      <c r="B5">
        <v>180</v>
      </c>
      <c r="C5">
        <v>854</v>
      </c>
      <c r="D5" t="s">
        <v>33</v>
      </c>
      <c r="E5" t="s">
        <v>34</v>
      </c>
    </row>
    <row r="6" spans="1:5" x14ac:dyDescent="0.3">
      <c r="A6">
        <v>105</v>
      </c>
      <c r="B6">
        <v>250</v>
      </c>
      <c r="C6">
        <v>670</v>
      </c>
      <c r="D6" t="s">
        <v>33</v>
      </c>
      <c r="E6" t="s">
        <v>34</v>
      </c>
    </row>
    <row r="7" spans="1:5" x14ac:dyDescent="0.3">
      <c r="A7">
        <v>107</v>
      </c>
      <c r="B7">
        <v>400</v>
      </c>
      <c r="C7">
        <v>2000</v>
      </c>
      <c r="D7" t="s">
        <v>33</v>
      </c>
      <c r="E7" t="s">
        <v>32</v>
      </c>
    </row>
    <row r="8" spans="1:5" x14ac:dyDescent="0.3">
      <c r="A8">
        <v>108</v>
      </c>
      <c r="B8">
        <v>550</v>
      </c>
      <c r="C8">
        <v>4000</v>
      </c>
      <c r="D8" t="s">
        <v>33</v>
      </c>
      <c r="E8" t="s">
        <v>32</v>
      </c>
    </row>
    <row r="9" spans="1:5" x14ac:dyDescent="0.3">
      <c r="A9">
        <v>109</v>
      </c>
      <c r="B9">
        <v>390</v>
      </c>
      <c r="C9">
        <v>1360</v>
      </c>
      <c r="D9" t="s">
        <v>33</v>
      </c>
      <c r="E9" t="s">
        <v>32</v>
      </c>
    </row>
    <row r="10" spans="1:5" x14ac:dyDescent="0.3">
      <c r="A10">
        <v>110</v>
      </c>
      <c r="B10">
        <v>1.4</v>
      </c>
      <c r="C10">
        <v>3.5</v>
      </c>
      <c r="D10" t="s">
        <v>31</v>
      </c>
      <c r="E10" t="s">
        <v>32</v>
      </c>
    </row>
    <row r="11" spans="1:5" x14ac:dyDescent="0.3">
      <c r="A11">
        <v>111</v>
      </c>
      <c r="B11">
        <v>25</v>
      </c>
      <c r="C11">
        <v>73.3</v>
      </c>
      <c r="D11" t="s">
        <v>33</v>
      </c>
      <c r="E11" t="s">
        <v>34</v>
      </c>
    </row>
    <row r="12" spans="1:5" x14ac:dyDescent="0.3">
      <c r="A12">
        <v>113</v>
      </c>
      <c r="B12">
        <v>165</v>
      </c>
      <c r="C12">
        <v>701.8</v>
      </c>
      <c r="D12" t="s">
        <v>33</v>
      </c>
      <c r="E12" t="s">
        <v>34</v>
      </c>
    </row>
    <row r="13" spans="1:5" x14ac:dyDescent="0.3">
      <c r="A13">
        <v>114</v>
      </c>
      <c r="B13">
        <v>205</v>
      </c>
      <c r="C13">
        <v>365.3</v>
      </c>
      <c r="D13" t="s">
        <v>33</v>
      </c>
      <c r="E13" t="s">
        <v>34</v>
      </c>
    </row>
    <row r="14" spans="1:5" x14ac:dyDescent="0.3">
      <c r="A14">
        <v>115</v>
      </c>
      <c r="B14">
        <v>55</v>
      </c>
      <c r="C14">
        <v>307.10000000000002</v>
      </c>
      <c r="D14" t="s">
        <v>33</v>
      </c>
      <c r="E14" t="s">
        <v>34</v>
      </c>
    </row>
    <row r="15" spans="1:5" x14ac:dyDescent="0.3">
      <c r="A15">
        <v>116</v>
      </c>
      <c r="B15">
        <v>103</v>
      </c>
      <c r="C15">
        <v>460.5</v>
      </c>
      <c r="D15" t="s">
        <v>33</v>
      </c>
      <c r="E15" t="s">
        <v>34</v>
      </c>
    </row>
    <row r="16" spans="1:5" x14ac:dyDescent="0.3">
      <c r="A16">
        <v>117</v>
      </c>
      <c r="B16">
        <v>200</v>
      </c>
      <c r="C16">
        <v>2202</v>
      </c>
      <c r="D16" t="s">
        <v>33</v>
      </c>
      <c r="E16" t="s">
        <v>34</v>
      </c>
    </row>
    <row r="17" spans="1:5" x14ac:dyDescent="0.3">
      <c r="A17">
        <v>118</v>
      </c>
      <c r="B17">
        <v>3.18</v>
      </c>
      <c r="C17">
        <v>3.3</v>
      </c>
      <c r="D17" t="s">
        <v>33</v>
      </c>
      <c r="E17" t="s">
        <v>34</v>
      </c>
    </row>
    <row r="18" spans="1:5" x14ac:dyDescent="0.3">
      <c r="A18">
        <v>119</v>
      </c>
      <c r="B18">
        <v>237</v>
      </c>
      <c r="C18">
        <v>2847</v>
      </c>
      <c r="D18" t="s">
        <v>33</v>
      </c>
      <c r="E18" t="s">
        <v>34</v>
      </c>
    </row>
    <row r="19" spans="1:5" x14ac:dyDescent="0.3">
      <c r="A19">
        <v>120</v>
      </c>
      <c r="B19">
        <v>7.2</v>
      </c>
      <c r="C19">
        <v>291</v>
      </c>
      <c r="D19" t="s">
        <v>33</v>
      </c>
      <c r="E19" t="s">
        <v>34</v>
      </c>
    </row>
    <row r="20" spans="1:5" x14ac:dyDescent="0.3">
      <c r="A20">
        <v>121</v>
      </c>
      <c r="B20">
        <v>185</v>
      </c>
      <c r="C20">
        <v>1006</v>
      </c>
      <c r="D20" t="s">
        <v>33</v>
      </c>
      <c r="E20" t="s">
        <v>34</v>
      </c>
    </row>
    <row r="21" spans="1:5" x14ac:dyDescent="0.3">
      <c r="A21">
        <v>122</v>
      </c>
      <c r="B21">
        <v>22</v>
      </c>
      <c r="C21">
        <v>322.2</v>
      </c>
      <c r="D21" t="s">
        <v>33</v>
      </c>
      <c r="E21" t="s">
        <v>34</v>
      </c>
    </row>
    <row r="22" spans="1:5" x14ac:dyDescent="0.3">
      <c r="A22">
        <v>123</v>
      </c>
      <c r="B22">
        <v>63</v>
      </c>
      <c r="C22">
        <v>1046</v>
      </c>
      <c r="D22" t="s">
        <v>33</v>
      </c>
      <c r="E22" t="s">
        <v>34</v>
      </c>
    </row>
    <row r="23" spans="1:5" x14ac:dyDescent="0.3">
      <c r="A23">
        <v>124</v>
      </c>
      <c r="B23">
        <v>15.5</v>
      </c>
      <c r="C23">
        <v>263.10000000000002</v>
      </c>
      <c r="D23" t="s">
        <v>33</v>
      </c>
      <c r="E23" t="s">
        <v>34</v>
      </c>
    </row>
    <row r="24" spans="1:5" x14ac:dyDescent="0.3">
      <c r="A24">
        <v>125</v>
      </c>
      <c r="B24">
        <v>400</v>
      </c>
      <c r="C24">
        <v>2798</v>
      </c>
      <c r="D24" t="s">
        <v>33</v>
      </c>
      <c r="E24" t="s">
        <v>34</v>
      </c>
    </row>
    <row r="25" spans="1:5" x14ac:dyDescent="0.3">
      <c r="A25">
        <v>126</v>
      </c>
      <c r="B25">
        <v>400</v>
      </c>
      <c r="C25">
        <v>2048</v>
      </c>
      <c r="D25" t="s">
        <v>33</v>
      </c>
      <c r="E25" t="s">
        <v>34</v>
      </c>
    </row>
    <row r="26" spans="1:5" x14ac:dyDescent="0.3">
      <c r="A26">
        <v>127</v>
      </c>
      <c r="B26">
        <v>70</v>
      </c>
      <c r="C26">
        <v>100</v>
      </c>
      <c r="D26" t="s">
        <v>33</v>
      </c>
      <c r="E26" t="s">
        <v>32</v>
      </c>
    </row>
    <row r="27" spans="1:5" x14ac:dyDescent="0.3">
      <c r="A27">
        <v>128</v>
      </c>
      <c r="B27">
        <v>120</v>
      </c>
      <c r="C27">
        <v>1350</v>
      </c>
      <c r="D27" t="s">
        <v>33</v>
      </c>
      <c r="E27" t="s">
        <v>32</v>
      </c>
    </row>
    <row r="28" spans="1:5" x14ac:dyDescent="0.3">
      <c r="A28">
        <v>129</v>
      </c>
      <c r="B28">
        <v>100</v>
      </c>
      <c r="C28">
        <v>410</v>
      </c>
      <c r="D28" t="s">
        <v>33</v>
      </c>
      <c r="E28" t="s">
        <v>32</v>
      </c>
    </row>
    <row r="29" spans="1:5" x14ac:dyDescent="0.3">
      <c r="A29">
        <v>130</v>
      </c>
      <c r="B29">
        <v>850</v>
      </c>
      <c r="C29">
        <v>8540</v>
      </c>
      <c r="D29" t="s">
        <v>33</v>
      </c>
      <c r="E29" t="s">
        <v>32</v>
      </c>
    </row>
    <row r="30" spans="1:5" x14ac:dyDescent="0.3">
      <c r="A30">
        <v>131</v>
      </c>
      <c r="B30">
        <v>1</v>
      </c>
      <c r="C30">
        <v>5.9</v>
      </c>
      <c r="D30" t="s">
        <v>31</v>
      </c>
      <c r="E30" t="s">
        <v>32</v>
      </c>
    </row>
    <row r="31" spans="1:5" x14ac:dyDescent="0.3">
      <c r="A31">
        <v>132</v>
      </c>
      <c r="B31">
        <v>2</v>
      </c>
      <c r="C31">
        <v>3.6</v>
      </c>
      <c r="D31" t="s">
        <v>31</v>
      </c>
      <c r="E31" t="s">
        <v>32</v>
      </c>
    </row>
    <row r="32" spans="1:5" x14ac:dyDescent="0.3">
      <c r="A32">
        <v>133</v>
      </c>
      <c r="B32">
        <v>5.5</v>
      </c>
      <c r="C32">
        <v>12</v>
      </c>
      <c r="D32" t="s">
        <v>31</v>
      </c>
      <c r="E32" t="s">
        <v>32</v>
      </c>
    </row>
    <row r="33" spans="1:5" x14ac:dyDescent="0.3">
      <c r="A33">
        <v>134</v>
      </c>
      <c r="B33">
        <v>1.8</v>
      </c>
      <c r="C33">
        <v>6.5</v>
      </c>
      <c r="D33" t="s">
        <v>31</v>
      </c>
      <c r="E33" t="s">
        <v>32</v>
      </c>
    </row>
    <row r="34" spans="1:5" x14ac:dyDescent="0.3">
      <c r="A34">
        <v>135</v>
      </c>
      <c r="B34">
        <v>250</v>
      </c>
      <c r="C34">
        <v>3409</v>
      </c>
      <c r="D34" t="s">
        <v>33</v>
      </c>
      <c r="E34" t="s">
        <v>32</v>
      </c>
    </row>
    <row r="35" spans="1:5" x14ac:dyDescent="0.3">
      <c r="A35">
        <v>136</v>
      </c>
      <c r="B35">
        <v>900</v>
      </c>
      <c r="C35">
        <v>11690</v>
      </c>
      <c r="D35" t="s">
        <v>33</v>
      </c>
      <c r="E35" t="s">
        <v>32</v>
      </c>
    </row>
    <row r="36" spans="1:5" x14ac:dyDescent="0.3">
      <c r="A36">
        <v>137</v>
      </c>
      <c r="B36">
        <v>216.7</v>
      </c>
      <c r="C36">
        <v>370.6</v>
      </c>
      <c r="D36" t="s">
        <v>33</v>
      </c>
      <c r="E36" t="s">
        <v>34</v>
      </c>
    </row>
    <row r="37" spans="1:5" x14ac:dyDescent="0.3">
      <c r="A37">
        <v>138</v>
      </c>
      <c r="B37">
        <v>177</v>
      </c>
      <c r="C37">
        <v>714.4</v>
      </c>
      <c r="D37" t="s">
        <v>33</v>
      </c>
      <c r="E37" t="s">
        <v>34</v>
      </c>
    </row>
    <row r="38" spans="1:5" x14ac:dyDescent="0.3">
      <c r="A38">
        <v>139</v>
      </c>
      <c r="B38">
        <v>1.8</v>
      </c>
      <c r="C38">
        <v>3.1</v>
      </c>
      <c r="D38" t="s">
        <v>31</v>
      </c>
      <c r="E38" t="s">
        <v>32</v>
      </c>
    </row>
    <row r="39" spans="1:5" x14ac:dyDescent="0.3">
      <c r="A39">
        <v>140</v>
      </c>
      <c r="B39">
        <v>500</v>
      </c>
      <c r="C39">
        <v>950</v>
      </c>
      <c r="D39" t="s">
        <v>33</v>
      </c>
      <c r="E39" t="s">
        <v>32</v>
      </c>
    </row>
    <row r="40" spans="1:5" x14ac:dyDescent="0.3">
      <c r="A40">
        <v>406</v>
      </c>
      <c r="B40">
        <v>30</v>
      </c>
      <c r="C40">
        <v>350</v>
      </c>
      <c r="D40" t="s">
        <v>33</v>
      </c>
      <c r="E40" t="s">
        <v>32</v>
      </c>
    </row>
    <row r="41" spans="1:5" x14ac:dyDescent="0.3">
      <c r="A41">
        <v>412</v>
      </c>
      <c r="B41">
        <v>160</v>
      </c>
      <c r="C41">
        <v>836.8</v>
      </c>
      <c r="D41" t="s">
        <v>33</v>
      </c>
      <c r="E4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35</v>
      </c>
      <c r="B1" s="2" t="s">
        <v>36</v>
      </c>
      <c r="C1" s="2" t="s">
        <v>37</v>
      </c>
    </row>
    <row r="2" spans="1:3" x14ac:dyDescent="0.3">
      <c r="A2">
        <v>50</v>
      </c>
      <c r="B2" t="s">
        <v>38</v>
      </c>
      <c r="C2">
        <v>1986</v>
      </c>
    </row>
    <row r="3" spans="1:3" x14ac:dyDescent="0.3">
      <c r="A3">
        <v>51</v>
      </c>
      <c r="B3" t="s">
        <v>39</v>
      </c>
      <c r="C3">
        <v>1959</v>
      </c>
    </row>
    <row r="4" spans="1:3" x14ac:dyDescent="0.3">
      <c r="A4">
        <v>52</v>
      </c>
      <c r="B4" t="s">
        <v>40</v>
      </c>
      <c r="C4">
        <v>1976</v>
      </c>
    </row>
    <row r="5" spans="1:3" x14ac:dyDescent="0.3">
      <c r="A5">
        <v>53</v>
      </c>
      <c r="B5" t="s">
        <v>41</v>
      </c>
      <c r="C5">
        <v>1989</v>
      </c>
    </row>
    <row r="6" spans="1:3" x14ac:dyDescent="0.3">
      <c r="A6">
        <v>54</v>
      </c>
      <c r="B6" t="s">
        <v>42</v>
      </c>
      <c r="C6">
        <v>1983</v>
      </c>
    </row>
    <row r="7" spans="1:3" x14ac:dyDescent="0.3">
      <c r="A7">
        <v>55</v>
      </c>
      <c r="B7" t="s">
        <v>43</v>
      </c>
      <c r="C7">
        <v>1981</v>
      </c>
    </row>
    <row r="8" spans="1:3" x14ac:dyDescent="0.3">
      <c r="A8">
        <v>56</v>
      </c>
      <c r="B8" t="s">
        <v>44</v>
      </c>
      <c r="C8">
        <v>1981</v>
      </c>
    </row>
    <row r="9" spans="1:3" x14ac:dyDescent="0.3">
      <c r="A9">
        <v>57</v>
      </c>
      <c r="B9" t="s">
        <v>45</v>
      </c>
      <c r="C9">
        <v>1942</v>
      </c>
    </row>
    <row r="10" spans="1:3" x14ac:dyDescent="0.3">
      <c r="A10">
        <v>58</v>
      </c>
      <c r="B10" t="s">
        <v>46</v>
      </c>
      <c r="C10">
        <v>1948</v>
      </c>
    </row>
    <row r="11" spans="1:3" x14ac:dyDescent="0.3">
      <c r="A11">
        <v>59</v>
      </c>
      <c r="B11" t="s">
        <v>47</v>
      </c>
      <c r="C11">
        <v>1965</v>
      </c>
    </row>
    <row r="12" spans="1:3" x14ac:dyDescent="0.3">
      <c r="A12">
        <v>60</v>
      </c>
      <c r="B12" t="s">
        <v>48</v>
      </c>
      <c r="C12">
        <v>1974</v>
      </c>
    </row>
    <row r="13" spans="1:3" x14ac:dyDescent="0.3">
      <c r="A13">
        <v>61</v>
      </c>
      <c r="B13" t="s">
        <v>49</v>
      </c>
      <c r="C13">
        <v>1965</v>
      </c>
    </row>
    <row r="14" spans="1:3" x14ac:dyDescent="0.3">
      <c r="A14">
        <v>62</v>
      </c>
      <c r="B14" t="s">
        <v>50</v>
      </c>
      <c r="C14">
        <v>1970</v>
      </c>
    </row>
    <row r="15" spans="1:3" x14ac:dyDescent="0.3">
      <c r="A15">
        <v>63</v>
      </c>
      <c r="B15" t="s">
        <v>51</v>
      </c>
      <c r="C15">
        <v>1979</v>
      </c>
    </row>
    <row r="16" spans="1:3" x14ac:dyDescent="0.3">
      <c r="A16">
        <v>64</v>
      </c>
      <c r="B16" t="s">
        <v>52</v>
      </c>
      <c r="C16">
        <v>1974</v>
      </c>
    </row>
    <row r="17" spans="1:3" x14ac:dyDescent="0.3">
      <c r="A17">
        <v>65</v>
      </c>
      <c r="B17" t="s">
        <v>53</v>
      </c>
      <c r="C17">
        <v>1985</v>
      </c>
    </row>
    <row r="18" spans="1:3" x14ac:dyDescent="0.3">
      <c r="A18">
        <v>66</v>
      </c>
      <c r="B18" t="s">
        <v>54</v>
      </c>
      <c r="C18">
        <v>1986</v>
      </c>
    </row>
    <row r="19" spans="1:3" x14ac:dyDescent="0.3">
      <c r="A19">
        <v>67</v>
      </c>
      <c r="B19" t="s">
        <v>55</v>
      </c>
      <c r="C19">
        <v>1958</v>
      </c>
    </row>
    <row r="20" spans="1:3" x14ac:dyDescent="0.3">
      <c r="A20">
        <v>68</v>
      </c>
      <c r="B20" t="s">
        <v>56</v>
      </c>
      <c r="C20">
        <v>1937</v>
      </c>
    </row>
    <row r="21" spans="1:3" x14ac:dyDescent="0.3">
      <c r="A21">
        <v>69</v>
      </c>
      <c r="B21" t="s">
        <v>57</v>
      </c>
      <c r="C21">
        <v>1974</v>
      </c>
    </row>
    <row r="22" spans="1:3" x14ac:dyDescent="0.3">
      <c r="A22">
        <v>70</v>
      </c>
      <c r="B22" t="s">
        <v>58</v>
      </c>
      <c r="C22">
        <v>1959</v>
      </c>
    </row>
    <row r="23" spans="1:3" x14ac:dyDescent="0.3">
      <c r="A23">
        <v>71</v>
      </c>
      <c r="B23" t="s">
        <v>59</v>
      </c>
      <c r="C23">
        <v>1969</v>
      </c>
    </row>
    <row r="24" spans="1:3" x14ac:dyDescent="0.3">
      <c r="A24">
        <v>72</v>
      </c>
      <c r="B24" t="s">
        <v>60</v>
      </c>
      <c r="C24">
        <v>1982</v>
      </c>
    </row>
    <row r="25" spans="1:3" x14ac:dyDescent="0.3">
      <c r="A25">
        <v>73</v>
      </c>
      <c r="B25" t="s">
        <v>61</v>
      </c>
      <c r="C25">
        <v>1984</v>
      </c>
    </row>
    <row r="26" spans="1:3" x14ac:dyDescent="0.3">
      <c r="A26">
        <v>74</v>
      </c>
      <c r="B26" t="s">
        <v>62</v>
      </c>
      <c r="C26">
        <v>1986</v>
      </c>
    </row>
    <row r="27" spans="1:3" x14ac:dyDescent="0.3">
      <c r="A27">
        <v>75</v>
      </c>
      <c r="B27" t="s">
        <v>63</v>
      </c>
      <c r="C27">
        <v>1968</v>
      </c>
    </row>
    <row r="28" spans="1:3" x14ac:dyDescent="0.3">
      <c r="A28">
        <v>76</v>
      </c>
      <c r="B28" t="s">
        <v>64</v>
      </c>
      <c r="C28">
        <v>1972</v>
      </c>
    </row>
    <row r="29" spans="1:3" x14ac:dyDescent="0.3">
      <c r="A29">
        <v>77</v>
      </c>
      <c r="B29" t="s">
        <v>65</v>
      </c>
      <c r="C29">
        <v>1964</v>
      </c>
    </row>
    <row r="30" spans="1:3" x14ac:dyDescent="0.3">
      <c r="A30">
        <v>78</v>
      </c>
      <c r="B30" t="s">
        <v>66</v>
      </c>
      <c r="C30">
        <v>1974</v>
      </c>
    </row>
    <row r="31" spans="1:3" x14ac:dyDescent="0.3">
      <c r="A31">
        <v>79</v>
      </c>
      <c r="B31" t="s">
        <v>67</v>
      </c>
      <c r="C31">
        <v>1975</v>
      </c>
    </row>
    <row r="32" spans="1:3" x14ac:dyDescent="0.3">
      <c r="A32">
        <v>80</v>
      </c>
      <c r="B32" t="s">
        <v>68</v>
      </c>
      <c r="C32">
        <v>1908</v>
      </c>
    </row>
    <row r="33" spans="1:3" x14ac:dyDescent="0.3">
      <c r="A33">
        <v>81</v>
      </c>
      <c r="B33" t="s">
        <v>69</v>
      </c>
      <c r="C33">
        <v>1921</v>
      </c>
    </row>
    <row r="34" spans="1:3" x14ac:dyDescent="0.3">
      <c r="A34">
        <v>82</v>
      </c>
      <c r="B34" t="s">
        <v>70</v>
      </c>
      <c r="C34">
        <v>1976</v>
      </c>
    </row>
    <row r="35" spans="1:3" x14ac:dyDescent="0.3">
      <c r="A35">
        <v>83</v>
      </c>
      <c r="B35" t="s">
        <v>71</v>
      </c>
      <c r="C35">
        <v>1978</v>
      </c>
    </row>
    <row r="36" spans="1:3" x14ac:dyDescent="0.3">
      <c r="A36">
        <v>84</v>
      </c>
      <c r="B36" t="s">
        <v>72</v>
      </c>
      <c r="C36">
        <v>1924</v>
      </c>
    </row>
    <row r="37" spans="1:3" x14ac:dyDescent="0.3">
      <c r="A37">
        <v>85</v>
      </c>
      <c r="B37" t="s">
        <v>73</v>
      </c>
      <c r="C37">
        <v>1940</v>
      </c>
    </row>
    <row r="38" spans="1:3" x14ac:dyDescent="0.3">
      <c r="A38">
        <v>86</v>
      </c>
      <c r="B38" t="s">
        <v>74</v>
      </c>
      <c r="C38">
        <v>1974</v>
      </c>
    </row>
    <row r="39" spans="1:3" x14ac:dyDescent="0.3">
      <c r="A39">
        <v>87</v>
      </c>
      <c r="B39" t="s">
        <v>75</v>
      </c>
      <c r="C39">
        <v>1979</v>
      </c>
    </row>
    <row r="40" spans="1:3" x14ac:dyDescent="0.3">
      <c r="A40">
        <v>88</v>
      </c>
      <c r="B40" t="s">
        <v>76</v>
      </c>
      <c r="C40">
        <v>1952</v>
      </c>
    </row>
    <row r="41" spans="1:3" x14ac:dyDescent="0.3">
      <c r="A41">
        <v>89</v>
      </c>
      <c r="B41" t="s">
        <v>77</v>
      </c>
      <c r="C41">
        <v>1943</v>
      </c>
    </row>
    <row r="42" spans="1:3" x14ac:dyDescent="0.3">
      <c r="A42">
        <v>90</v>
      </c>
      <c r="B42" t="s">
        <v>78</v>
      </c>
      <c r="C42">
        <v>1947</v>
      </c>
    </row>
    <row r="43" spans="1:3" x14ac:dyDescent="0.3">
      <c r="A43">
        <v>91</v>
      </c>
      <c r="B43" t="s">
        <v>79</v>
      </c>
      <c r="C43">
        <v>1967</v>
      </c>
    </row>
    <row r="44" spans="1:3" x14ac:dyDescent="0.3">
      <c r="A44">
        <v>92</v>
      </c>
      <c r="B44" t="s">
        <v>80</v>
      </c>
      <c r="C44">
        <v>1967</v>
      </c>
    </row>
    <row r="45" spans="1:3" x14ac:dyDescent="0.3">
      <c r="A45">
        <v>93</v>
      </c>
      <c r="B45" t="s">
        <v>81</v>
      </c>
      <c r="C45">
        <v>1975</v>
      </c>
    </row>
    <row r="46" spans="1:3" x14ac:dyDescent="0.3">
      <c r="A46">
        <v>94</v>
      </c>
      <c r="B46" t="s">
        <v>82</v>
      </c>
      <c r="C46">
        <v>1965</v>
      </c>
    </row>
    <row r="47" spans="1:3" x14ac:dyDescent="0.3">
      <c r="A47">
        <v>95</v>
      </c>
      <c r="B47" t="s">
        <v>83</v>
      </c>
      <c r="C47">
        <v>1981</v>
      </c>
    </row>
    <row r="48" spans="1:3" x14ac:dyDescent="0.3">
      <c r="A48">
        <v>150</v>
      </c>
      <c r="B48" t="s">
        <v>84</v>
      </c>
      <c r="C48">
        <v>1905</v>
      </c>
    </row>
    <row r="49" spans="1:3" x14ac:dyDescent="0.3">
      <c r="A49">
        <v>151</v>
      </c>
      <c r="B49" t="s">
        <v>85</v>
      </c>
      <c r="C49">
        <v>1919</v>
      </c>
    </row>
    <row r="50" spans="1:3" x14ac:dyDescent="0.3">
      <c r="A50">
        <v>152</v>
      </c>
      <c r="B50" t="s">
        <v>86</v>
      </c>
      <c r="C50">
        <v>1997</v>
      </c>
    </row>
    <row r="51" spans="1:3" x14ac:dyDescent="0.3">
      <c r="A51">
        <v>153</v>
      </c>
      <c r="B51" t="s">
        <v>87</v>
      </c>
      <c r="C51">
        <v>1929</v>
      </c>
    </row>
    <row r="52" spans="1:3" x14ac:dyDescent="0.3">
      <c r="A52">
        <v>154</v>
      </c>
      <c r="B52" t="s">
        <v>88</v>
      </c>
      <c r="C52">
        <v>1988</v>
      </c>
    </row>
    <row r="53" spans="1:3" x14ac:dyDescent="0.3">
      <c r="A53">
        <v>155</v>
      </c>
      <c r="B53" t="s">
        <v>89</v>
      </c>
      <c r="C53">
        <v>1982</v>
      </c>
    </row>
    <row r="54" spans="1:3" x14ac:dyDescent="0.3">
      <c r="A54">
        <v>156</v>
      </c>
      <c r="B54" t="s">
        <v>90</v>
      </c>
      <c r="C54">
        <v>1982</v>
      </c>
    </row>
    <row r="55" spans="1:3" x14ac:dyDescent="0.3">
      <c r="A55">
        <v>157</v>
      </c>
      <c r="B55" t="s">
        <v>91</v>
      </c>
      <c r="C55">
        <v>1982</v>
      </c>
    </row>
    <row r="56" spans="1:3" x14ac:dyDescent="0.3">
      <c r="A56">
        <v>158</v>
      </c>
      <c r="B56" t="s">
        <v>92</v>
      </c>
      <c r="C56">
        <v>1983</v>
      </c>
    </row>
    <row r="57" spans="1:3" x14ac:dyDescent="0.3">
      <c r="A57">
        <v>159</v>
      </c>
      <c r="B57" t="s">
        <v>93</v>
      </c>
      <c r="C57">
        <v>1985</v>
      </c>
    </row>
    <row r="58" spans="1:3" x14ac:dyDescent="0.3">
      <c r="A58">
        <v>160</v>
      </c>
      <c r="B58" t="s">
        <v>94</v>
      </c>
      <c r="C58">
        <v>1979</v>
      </c>
    </row>
    <row r="59" spans="1:3" x14ac:dyDescent="0.3">
      <c r="A59">
        <v>161</v>
      </c>
      <c r="B59" t="s">
        <v>95</v>
      </c>
      <c r="C59">
        <v>1984</v>
      </c>
    </row>
    <row r="60" spans="1:3" x14ac:dyDescent="0.3">
      <c r="A60">
        <v>162</v>
      </c>
      <c r="B60" t="s">
        <v>96</v>
      </c>
      <c r="C60">
        <v>1950</v>
      </c>
    </row>
    <row r="61" spans="1:3" x14ac:dyDescent="0.3">
      <c r="A61">
        <v>163</v>
      </c>
      <c r="B61" t="s">
        <v>97</v>
      </c>
      <c r="C61">
        <v>1955</v>
      </c>
    </row>
    <row r="62" spans="1:3" x14ac:dyDescent="0.3">
      <c r="A62">
        <v>164</v>
      </c>
      <c r="B62" t="s">
        <v>98</v>
      </c>
      <c r="C62">
        <v>1965</v>
      </c>
    </row>
    <row r="63" spans="1:3" x14ac:dyDescent="0.3">
      <c r="A63">
        <v>165</v>
      </c>
      <c r="B63" t="s">
        <v>99</v>
      </c>
      <c r="C63">
        <v>1967</v>
      </c>
    </row>
    <row r="64" spans="1:3" x14ac:dyDescent="0.3">
      <c r="A64">
        <v>166</v>
      </c>
      <c r="B64" t="s">
        <v>100</v>
      </c>
      <c r="C64">
        <v>1946</v>
      </c>
    </row>
    <row r="65" spans="1:3" x14ac:dyDescent="0.3">
      <c r="A65">
        <v>167</v>
      </c>
      <c r="B65" t="s">
        <v>101</v>
      </c>
      <c r="C65">
        <v>1982</v>
      </c>
    </row>
    <row r="66" spans="1:3" x14ac:dyDescent="0.3">
      <c r="A66">
        <v>168</v>
      </c>
      <c r="B66" t="s">
        <v>102</v>
      </c>
      <c r="C66">
        <v>1956</v>
      </c>
    </row>
    <row r="67" spans="1:3" x14ac:dyDescent="0.3">
      <c r="A67">
        <v>169</v>
      </c>
      <c r="B67" t="s">
        <v>103</v>
      </c>
      <c r="C67">
        <v>1985</v>
      </c>
    </row>
    <row r="68" spans="1:3" x14ac:dyDescent="0.3">
      <c r="A68">
        <v>170</v>
      </c>
      <c r="B68" t="s">
        <v>104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35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5</v>
      </c>
      <c r="B1" s="2" t="s">
        <v>36</v>
      </c>
    </row>
    <row r="2" spans="1:2" x14ac:dyDescent="0.3">
      <c r="A2">
        <v>1</v>
      </c>
      <c r="B2" t="s">
        <v>105</v>
      </c>
    </row>
    <row r="3" spans="1:2" x14ac:dyDescent="0.3">
      <c r="A3">
        <v>2</v>
      </c>
      <c r="B3" t="s">
        <v>106</v>
      </c>
    </row>
    <row r="4" spans="1:2" x14ac:dyDescent="0.3">
      <c r="A4">
        <v>3</v>
      </c>
      <c r="B4" t="s">
        <v>107</v>
      </c>
    </row>
    <row r="5" spans="1:2" x14ac:dyDescent="0.3">
      <c r="A5">
        <v>4</v>
      </c>
      <c r="B5" t="s">
        <v>108</v>
      </c>
    </row>
    <row r="6" spans="1:2" x14ac:dyDescent="0.3">
      <c r="A6">
        <v>5</v>
      </c>
      <c r="B6" t="s">
        <v>109</v>
      </c>
    </row>
    <row r="7" spans="1:2" x14ac:dyDescent="0.3">
      <c r="A7">
        <v>6</v>
      </c>
      <c r="B7" t="s">
        <v>110</v>
      </c>
    </row>
    <row r="8" spans="1:2" x14ac:dyDescent="0.3">
      <c r="A8">
        <v>7</v>
      </c>
      <c r="B8" t="s">
        <v>111</v>
      </c>
    </row>
    <row r="9" spans="1:2" x14ac:dyDescent="0.3">
      <c r="A9">
        <v>8</v>
      </c>
      <c r="B9" t="s">
        <v>112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customXml/itemProps2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movies</vt:lpstr>
      <vt:lpstr>financials</vt:lpstr>
      <vt:lpstr>actors</vt:lpstr>
      <vt:lpstr>movie_actor</vt:lpstr>
      <vt:lpstr>languages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2025-12-06T17:14:31Z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